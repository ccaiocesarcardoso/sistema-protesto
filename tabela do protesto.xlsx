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lculadora de custas de protesto\"/>
    </mc:Choice>
  </mc:AlternateContent>
  <xr:revisionPtr revIDLastSave="0" documentId="8_{262765F4-9F7D-46C9-8344-BF6EF7E771FD}" xr6:coauthVersionLast="47" xr6:coauthVersionMax="47" xr10:uidLastSave="{00000000-0000-0000-0000-000000000000}"/>
  <bookViews>
    <workbookView xWindow="20370" yWindow="-120" windowWidth="29040" windowHeight="15720" xr2:uid="{EA39C0FA-4EB4-4C75-9112-506EB4397AB1}"/>
  </bookViews>
  <sheets>
    <sheet name="Planilha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4" i="1" l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98" i="1"/>
  <c r="G97" i="1"/>
  <c r="G96" i="1"/>
  <c r="G95" i="1"/>
  <c r="G94" i="1"/>
  <c r="G93" i="1"/>
  <c r="G92" i="1"/>
  <c r="G91" i="1"/>
  <c r="G90" i="1"/>
  <c r="G89" i="1"/>
  <c r="G88" i="1"/>
  <c r="G87" i="1"/>
  <c r="G85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<sst xmlns="http://schemas.openxmlformats.org/spreadsheetml/2006/main" count="191" uniqueCount="143">
  <si>
    <t>Sem Faixa de Valor</t>
  </si>
  <si>
    <t>-</t>
  </si>
  <si>
    <t>93 I - Protesto completo de título de crédito, compreendendo apontamento, instrumento e seu registro, sobre o valor de até R$ 65,38</t>
  </si>
  <si>
    <t>93 II - Protesto completo de título de crédito, compreendendo apontamento, instrumento e seu registro, sobre o valor de até R$ 130,76</t>
  </si>
  <si>
    <t>93 III - Protesto completo de título de crédito, compreendendo apontamento, instrumento e seu registro, sobre o valor de até R$ 261,52</t>
  </si>
  <si>
    <t>93 IV - Protesto completo de título de crédito, compreendendo apontamento, instrumento e seu registro, sobre o valor de até R$ 392,29</t>
  </si>
  <si>
    <t>93 V - Protesto completo de título de crédito, compreendendo apontamento, instrumento e seu registro, sobre o valor de até R$ 523,05</t>
  </si>
  <si>
    <t>93 VI - Protesto completo de título de crédito, compreendendo apontamento, instrumento e seu registro, sobre o valor de até R$ 653,80</t>
  </si>
  <si>
    <t>93 VII - Protesto completo de título de crédito, compreendendo apontamento, instrumento e seu registro, sobre o valor de até R$ 1.307,62</t>
  </si>
  <si>
    <t>93 VIII - Protesto completo de título de crédito, compreendendo apontamento, instrumento e seu registro, sobre o valor de até R$ 2.615,24</t>
  </si>
  <si>
    <t>93 IX - Protesto completo de título de crédito, compreendendo apontamento, instrumento e seu registro, sobre o valor de até R$ 6.538,10</t>
  </si>
  <si>
    <t>93 X - Protesto completo de título de crédito, compreendendo apontamento, instrumento e seu registro, sobre o valor de até R$ 13.076,18</t>
  </si>
  <si>
    <t>93 XI - Protesto completo de título de crédito, compreendendo apontamento, instrumento e seu registro, sobre o valor de até R$ 26.152,37</t>
  </si>
  <si>
    <t>93 XII - Protesto completo de título de crédito, compreendendo apontamento, instrumento e seu registro, sobre o valor acima de R$ 26.152,37</t>
  </si>
  <si>
    <t>94 - Intimação, por pessoa, exceto quando os intimados tiverem o mesmo endereço</t>
  </si>
  <si>
    <t>95  -Averbação de documento que determine a alteração ou o cancelamento de protesto, de quitação ou de qualquer outro, com ou sem valor econômico</t>
  </si>
  <si>
    <t>97 I - Certidão diária em forma de relação (artigo 29, da Lei Federal nº 9.492/97)</t>
  </si>
  <si>
    <t>97 II - por nome de pessoa que, além do primeiro, constar da relação de protestos tirados e cancelados</t>
  </si>
  <si>
    <t>96 I - Liquidação de título ou desistência do protesto, antes da intimação, sobre o valor de até R$ 65,38</t>
  </si>
  <si>
    <t>96 II - Liquidação de título ou desistência do protesto, antes da intimação, sobre o valor de até R$ 130,76</t>
  </si>
  <si>
    <t>96 III - Liquidação de título ou desistência do protesto, antes da intimação, sobre o valor de até R$ 261,52</t>
  </si>
  <si>
    <t>96 IV - Liquidação de título ou desistência do protesto, antes da intimação, sobre o valor de até R$ 392,29</t>
  </si>
  <si>
    <t>96 V - Liquidação de título ou desistência do protesto, antes da intimação, sobre o valor de até R$ 523,05</t>
  </si>
  <si>
    <t>96 VI - Liquidação de título ou desistência do protesto, antes da intimação, sobre o valor de até R$ 653,80</t>
  </si>
  <si>
    <t>96 VII - Liquidação de título ou desistência do protesto, antes da intimação, sobre o valor de até R$ 1.307,62</t>
  </si>
  <si>
    <t>96 VIII - Liquidação de título ou desistência do protesto, antes da intimação, sobre o valor de até R$ 2.615,24</t>
  </si>
  <si>
    <t>96 IX - Liquidação de título ou desistência do protesto, antes da intimação, sobre o valor de até R$ 6.538,10</t>
  </si>
  <si>
    <t>96 X - Liquidação de título ou desistência do protesto, antes da intimação, sobre o valor de até R$ 13.076,18</t>
  </si>
  <si>
    <t>96 XI - Liquidação de título ou desistência do protesto, antes da intimação, sobre o valor de até R$ 26.152,37</t>
  </si>
  <si>
    <t>96 XII - Liquidação de título ou desistência do protesto, antes da intimação, sobre o valor acima de R$ 26.152,37</t>
  </si>
  <si>
    <t>Ord.</t>
  </si>
  <si>
    <t>Codificação Legal/ Nome Atualizado (2026)</t>
  </si>
  <si>
    <t>Faixa de Cotação 2026</t>
  </si>
  <si>
    <t>Ids. 2022 e 2026</t>
  </si>
  <si>
    <t>Combinação Obrigatória</t>
  </si>
  <si>
    <t>Emolumento</t>
  </si>
  <si>
    <t>Taxa Judiciária</t>
  </si>
  <si>
    <t>Vigência 2025</t>
  </si>
  <si>
    <t>Vigência 2026</t>
  </si>
  <si>
    <t>98 - Certidões ou traslados (Protesto de Título)</t>
  </si>
  <si>
    <t>99 - Certidão ou traslado, por página que acresce (Protesto de Título)</t>
  </si>
  <si>
    <t>Tabela XVIII - 1a nota - certidão negativa, por pessoa que acrescer (Protesto de Título)</t>
  </si>
  <si>
    <t>100 - Cópia reprográfica, por página (Protesto de Título)</t>
  </si>
  <si>
    <t>101 - Informações verbais, quando o interessado dispensar a certidão (Protesto de Título)</t>
  </si>
  <si>
    <t>Tabela XVII - Atos Gratuitos de Protesto de Título</t>
  </si>
  <si>
    <t>Apostilamento da Convenção de Haia (Atribuição Protesto de Título)</t>
  </si>
  <si>
    <t>Intermediação Extrajudicial (art. 386, Código Nacional de Normas da Corregedoria Nacional de Justiça do CNJ - Foro Extrajudicial) CEJUSC</t>
  </si>
  <si>
    <t>Mediação e Conciliação Extrajudicial (art. 386, Código Nacional de Normas da Corregedoria Nacional de Justiça do CNJ - Foro Extrajudicial) CEJUSC</t>
  </si>
  <si>
    <t>Apontamentos – Protocolização de títulos e outros documentos de dívidas para protestos (pagamento posterior)</t>
  </si>
  <si>
    <t>93 I - Protesto completo de título de crédito, compreendendo apontamento, instrumento e seu registro, sobre o valor de até R$ 65,38 (pagamento posterior)</t>
  </si>
  <si>
    <t>93 II - Protesto completo de título de crédito, compreendendo apontamento, instrumento e seu registro, sobre o valor de até R$ 130,76  (pagamento posterior)</t>
  </si>
  <si>
    <t>93 III - Protesto completo de título de crédito, compreendendo apontamento, instrumento e seu registro, sobre o valor de até R$ 261,52 (pagamento posterior)</t>
  </si>
  <si>
    <t>93 IV - Protesto completo de título de crédito, compreendendo apontamento, instrumento e seu registro, sobre o valor de até R$ 392,29 (pagamento posterior)</t>
  </si>
  <si>
    <t>93 V - Protesto completo de título de crédito, compreendendo apontamento, instrumento e seu registro, sobre o valor de até R$ 523,05 (pagamento posterior)</t>
  </si>
  <si>
    <t>93 VI - Protesto completo de título de crédito, compreendendo apontamento, instrumento e seu registro, sobre o valor de até R$ 653,80 (pagamento posterior)</t>
  </si>
  <si>
    <t>93 VII - Protesto completo de título de crédito, compreendendo apontamento, instrumento e seu registro, sobre o valor de até R$ 1.307,62 (pagamento posterior)</t>
  </si>
  <si>
    <t>93 VIII - Protesto completo de título de crédito, compreendendo apontamento, instrumento e seu registro, sobre o valor de até R$ 2.615,24 (pagamento posterior)</t>
  </si>
  <si>
    <t>93 IX - Protesto completo de título de crédito, compreendendo apontamento, instrumento e seu registro, sobre o valor de até R$ 6.538,10 (pagamento posterior)</t>
  </si>
  <si>
    <t>93 X - Protesto completo de título de crédito, compreendendo apontamento, instrumento e seu registro, sobre o valor de até R$ 13.076,18 (pagamento posterior)</t>
  </si>
  <si>
    <t>93 XI - Protesto completo de título de crédito, compreendendo apontamento, instrumento e seu registro, sobre o valor de até R$ 26.152,37 (pagamento posterior)</t>
  </si>
  <si>
    <t>93 XII - Protesto completo de título de crédito, compreendendo apontamento, instrumento e seu registro, sobre o valor acima de R$ 26.152,37 (pagamento posterior)</t>
  </si>
  <si>
    <t>94 - Intimação, por pessoa, exceto quando os intimados tiverem o mesmo endereço (pagamento posterior)</t>
  </si>
  <si>
    <t>95  -Averbação de documento que determine a alteração ou o cancelamento de protesto, de quitação ou de qualquer outro, com ou sem valor econômico (pagamento posterior)</t>
  </si>
  <si>
    <t>Apontamentos – Protocolização de títulos e outros documentos de dívidas para protestos (pagamento diferido com acréscimo de 50%)</t>
  </si>
  <si>
    <t>93 I - Protesto completo de título de crédito, compreendendo apontamento, instrumento e seu registro, sobre o valor de até R$ 65,38 (pagamento diferido com acréscimo de 50%)</t>
  </si>
  <si>
    <t>93 II - Protesto completo de título de crédito, compreendendo apontamento, instrumento e seu registro, sobre o valor de até R$ 130,76  (pagamento diferido com acréscimo de 50%)</t>
  </si>
  <si>
    <t>93 III - Protesto completo de título de crédito, compreendendo apontamento, instrumento e seu registro, sobre o valor de até R$ 261,52 (pagamento diferido com acréscimo de 50%)</t>
  </si>
  <si>
    <t>93 IV - Protesto completo de título de crédito, compreendendo apontamento, instrumento e seu registro, sobre o valor de até R$ 392,29 (pagamento diferido com acréscimo de 50%)</t>
  </si>
  <si>
    <t>93 V - Protesto completo de título de crédito, compreendendo apontamento, instrumento e seu registro, sobre o valor de até R$ 523,05 (pagamento diferido com acréscimo de 50%)</t>
  </si>
  <si>
    <t>93 VI - Protesto completo de título de crédito, compreendendo apontamento, instrumento e seu registro, sobre o valor de até R$ 653,80 (pagamento diferido com acréscimo de 50%)</t>
  </si>
  <si>
    <t>93 VII - Protesto completo de título de crédito, compreendendo apontamento, instrumento e seu registro, sobre o valor de até R$ 1.307,62 (pagamento diferido com acréscimo de 50%)</t>
  </si>
  <si>
    <t>93 VIII - Protesto completo de título de crédito, compreendendo apontamento, instrumento e seu registro, sobre o valor de até R$ 2.615,24 (pagamento diferido com acréscimo de 50%)</t>
  </si>
  <si>
    <t>93 IX - Protesto completo de título de crédito, compreendendo apontamento, instrumento e seu registro, sobre o valor de até R$ 6.538,10 (pagamento diferido com acréscimo de 50%)</t>
  </si>
  <si>
    <t>93 X - Protesto completo de título de crédito, compreendendo apontamento, instrumento e seu registro, sobre o valor de até R$ 13.076,18 (pagamento diferido com acréscimo de 50%)</t>
  </si>
  <si>
    <t>93 XI - Protesto completo de título de crédito, compreendendo apontamento, instrumento e seu registro, sobre o valor de até R$ 26.152,37 (pagamento diferido com acréscimo de 50%)</t>
  </si>
  <si>
    <t>93 XII - Protesto completo de título de crédito, compreendendo apontamento, instrumento e seu registro, sobre o valor acima de R$ 26.152,37 (pagamento diferido com acréscimo de 50%)</t>
  </si>
  <si>
    <t>94 - Intimação, por pessoa, exceto quando os intimados tiverem o mesmo endereço (pagamento diferido com acréscimo de 50%)</t>
  </si>
  <si>
    <t>95 -Averbação de documento que determine a alteração ou o cancelamento de protesto, de quitação ou de qualquer outro, com ou sem valor econômico (pagamento diferido com acréscimo de 50%)</t>
  </si>
  <si>
    <t>(Isenções Taxa e Fundos Microempresa e Empresa de Pequeno Porte) Apontamentos – Protocolização de títulos e outros documentos de dívidas para protestos  (Lei Complementar nº 123/06)</t>
  </si>
  <si>
    <t>(Isenções Taxa e Fundos Microempresa e Empresa de Pequeno Porte) 93 I - Protesto completo de título de crédito, compreendendo apontamento, instrumento e seu registro, sobre o valor de até R$ 65,38 (Lei Complementar nº 123/06)</t>
  </si>
  <si>
    <t>(Isenções Taxa e Fundos Microempresa e Empresa de Pequeno Porte) 93 II - Protesto completo de título de crédito, compreendendo apontamento, instrumento e seu registro, sobre o valor de até R$ 130,76  (Lei Complementar nº 123/06)</t>
  </si>
  <si>
    <t>(Isenções Taxa e Fundos Microempresa e Empresa de Pequeno Porte) 93 III - Protesto completo de título de crédito, compreendendo apontamento, instrumento e seu registro, sobre o valor de até R$ 261,52 (Lei Complementar nº 123/06)</t>
  </si>
  <si>
    <t>(Isenções Taxa e Fundos Microempresa e Empresa de Pequeno Porte) 93 IV - Protesto completo de título de crédito, compreendendo apontamento, instrumento e seu registro, sobre o valor de até R$ 392,29 (Lei Complementar nº 123/06)</t>
  </si>
  <si>
    <t>(Isenções Taxa e Fundos Microempresa e Empresa de Pequeno Porte) 93 V - Protesto completo de título de crédito, compreendendo apontamento, instrumento e seu registro, sobre o valor de até R$ 523,05 (Lei Complementar nº 123/06)</t>
  </si>
  <si>
    <t>(Isenções Taxa e Fundos Microempresa e Empresa de Pequeno Porte) 93 VI - Protesto completo de título de crédito, compreendendo apontamento, instrumento e seu registro, sobre o valor de até R$ 653,80 (Lei Complementar nº 123/06)</t>
  </si>
  <si>
    <t>(Isenções Taxa e Fundos Microempresa e Empresa de Pequeno Porte) 93 VII - Protesto completo de título de crédito, compreendendo apontamento, instrumento e seu registro, sobre o valor de até R$ 1.307,62 (Lei Complementar nº 123/06)</t>
  </si>
  <si>
    <t>(Isenções Taxa e Fundos Microempresa e Empresa de Pequeno Porte) 93 VIII - Protesto completo de título de crédito, compreendendo apontamento, instrumento e seu registro, sobre o valor de até R$ 2.615,24 (Lei Complementar nº 123/06)</t>
  </si>
  <si>
    <t>(Isenções Taxa e Fundos Microempresa e Empresa de Pequeno Porte) 93 IX - Protesto completo de título de crédito, compreendendo apontamento, instrumento e seu registro, sobre o valor de até R$ 6.538,10 (Lei Complementar nº 123/06)</t>
  </si>
  <si>
    <t>(Isenções Taxa e Fundos Microempresa e Empresa de Pequeno Porte) 93 X - Protesto completo de título de crédito, compreendendo apontamento, instrumento e seu registro, sobre o valor de até R$ 13.076,18 (Lei Complementar nº 123/06)</t>
  </si>
  <si>
    <t>(Isenções Taxa e Fundos Microempresa e Empresa de Pequeno Porte) 93 XI - Protesto completo de título de crédito, compreendendo apontamento, instrumento e seu registro, sobre o valor de até R$ 26.152,37 (Lei Complementar nº 123/06)</t>
  </si>
  <si>
    <t>(Isenções Taxa e Fundos Microempresa e Empresa de Pequeno Porte) 93 XII - Protesto completo de título de crédito, compreendendo apontamento, instrumento e seu registro, sobre o valor acima de R$ 26.152,37 (Lei Complementar nº 123/06)</t>
  </si>
  <si>
    <t>(Isenções Taxa e Fundos Microempresa e Empresa de Pequeno Porte) 94 - Intimação, por pessoa, exceto quando os intimados tiverem o mesmo endereço  (Lei Complementar nº 123/06),0</t>
  </si>
  <si>
    <t>(Isenções Taxa e Fundos Microempresa e Empresa de Pequeno Porte) 95  -Averbação de documento que determine a alteração ou o cancelamento de protesto, de quitação ou de qualquer outro, com ou sem valor econômico  (Lei Complementar nº 123/06)</t>
  </si>
  <si>
    <t>(Isenções Taxa e Fundos Microempresa e Empresa de Pequeno Porte) 97 I - Certidão diária em forma de relação (artigo 29, da Lei Federal nº 9.492/97)  (Lei Complementar nº 123/06)</t>
  </si>
  <si>
    <t>(Isenções Taxa e Fundos Microempresa e Empresa de Pequeno Porte) 97 II - por nome de pessoa que, além do primeiro, constar da relação de protestos tirados e cancelados  (Lei Complementar nº 123/06)</t>
  </si>
  <si>
    <t>(Isenções Taxa e Fundos Microempresa e Empresa de Pequeno Porte) 96 I - Liquidação de título ou desistência do protesto, antes da intimação, sobre o valor de até R$ 65,38  (Lei Complementar nº 123/06)</t>
  </si>
  <si>
    <t>(Isenções Taxa e Fundos Microempresa e Empresa de Pequeno Porte) 96 II - Liquidação de título ou desistência do protesto, antes da intimação, sobre o valor de até R$ 130,76   (Lei Complementar nº 123/06)</t>
  </si>
  <si>
    <t>(Isenções Taxa e Fundos Microempresa e Empresa de Pequeno Porte) 96 III - Liquidação de título ou desistência do protesto, antes da intimação, sobre o valor de até R$ 261,52  (Lei Complementar nº 123/06)</t>
  </si>
  <si>
    <t>(Isenções Taxa e Fundos Microempresa e Empresa de Pequeno Porte) 96 IV - Liquidação de título ou desistência do protesto, antes da intimação, sobre o valor de até R$ 392,29  (Lei Complementar nº 123/06)</t>
  </si>
  <si>
    <t>(Isenções Taxa e Fundos Microempresa e Empresa de Pequeno Porte) 96 V - Liquidação de título ou desistência do protesto, antes da intimação, sobre o valor de até R$ 523,05  (Lei Complementar nº 123/06)</t>
  </si>
  <si>
    <t>(Isenções Taxa e Fundos Microempresa e Empresa de Pequeno Porte) 96 VI - Liquidação de título ou desistência do protesto, antes da intimação, sobre o valor de até R$ 653,80  (Lei Complementar nº 123/06)</t>
  </si>
  <si>
    <t>(Isenções Taxa e Fundos Microempresa e Empresa de Pequeno Porte) 96 VII - Liquidação de título ou desistência do protesto, antes da intimação, sobre o valor de até R$ 1.307,62  (Lei Complementar nº 123/06)</t>
  </si>
  <si>
    <t>(Isenções Taxa e Fundos Microempresa e Empresa de Pequeno Porte) 96 VIII - Liquidação de título ou desistência do protesto, antes da intimação, sobre o valor de até R$ 2.615,24  (Lei Complementar nº 123/06)</t>
  </si>
  <si>
    <t>(Isenções Taxa e Fundos Microempresa e Empresa de Pequeno Porte) 96 IX - Liquidação de título ou desistência do protesto, antes da intimação, sobre o valor de até R$ 6.538,10  (Lei Complementar nº 123/06)</t>
  </si>
  <si>
    <t>(Isenções Taxa e Fundos Microempresa e Empresa de Pequeno Porte) 96 X - Liquidação de título ou desistência do protesto, antes da intimação, sobre o valor de até R$ 13.076,18  (Lei Complementar nº 123/06)</t>
  </si>
  <si>
    <t>(Isenções Taxa e Fundos Microempresa e Empresa de Pequeno Porte) 96 XI - Liquidação de título ou desistência do protesto, antes da intimação, sobre o valor de até R$ 26.152,37  (Lei Complementar nº 123/06)</t>
  </si>
  <si>
    <t>(Isenções Taxa e Fundos Microempresa e Empresa de Pequeno Porte) 96 XII - Liquidação de título ou desistência do protesto, antes da intimação, sobre o valor acima de R$ 26.152,37  (Lei Complementar nº 123/06)</t>
  </si>
  <si>
    <t>(Isenções Taxa e Fundos Microempresa e Empresa de Pequeno Porte) 98 - Certidões ou traslados (Protesto de Título)  (Lei Complementar nº 123/06)</t>
  </si>
  <si>
    <t>(Isenções Taxa e Fundos Microempresa e Empresa de Pequeno Porte) 99 - Certidão ou traslado, por página que acresce (Protesto de Título)  (Lei Complementar nº 123/06)</t>
  </si>
  <si>
    <t>(Isenções Taxa e Fundos Microempresa e Empresa de Pequeno Porte) Tabela XVIII - 1a nota - certidão negativa, por pessoa que acrescer (Protesto de Título)  (Lei Complementar nº 123/06)</t>
  </si>
  <si>
    <t>(Isenções Taxa e Fundos Microempresa e Empresa de Pequeno Porte) 100 - Cópia reprográfica, por página (Protesto de Título)  (Lei Complementar nº 123/06)</t>
  </si>
  <si>
    <t>(Isenções Taxa e Fundos Microempresa e Empresa de Pequeno Porte) 101 - Informações verbais, quando o interessado dispensar a certidão (Protesto de Título)  (Lei Complementar nº 123/06)</t>
  </si>
  <si>
    <t>(Isenções Taxa e Fundos Microempresa e Empresa de Pequeno Porte) Apostilamento da Convenção de Haia (Atribuição Protesto de Título)  (Lei Complementar nº 123/06)</t>
  </si>
  <si>
    <t>(Isenções Taxa e Fundos Microempresa e Empresa de Pequeno Porte) Apontamentos – Protocolização de títulos e outros documentos de dívidas para protestos (pagamento posterior)</t>
  </si>
  <si>
    <t>(Isenções Taxa e Fundos Microempresa e Empresa de Pequeno Porte) 93 I - Protesto completo de título de crédito, compreendendo apontamento, instrumento e seu registro, sobre o valor de até R$ 65,38  (pagamento posterior)</t>
  </si>
  <si>
    <t>(Isenções Taxa e Fundos Microempresa e Empresa de Pequeno Porte) 93 II - Protesto completo de título de crédito, compreendendo apontamento, instrumento e seu registro, sobre o valor de até R$ 130,76   (pagamento posterior)</t>
  </si>
  <si>
    <t>(Isenções Taxa e Fundos Microempresa e Empresa de Pequeno Porte) 93 III - Protesto completo de título de crédito, compreendendo apontamento, instrumento e seu registro, sobre o valor de até R$ 261,52  (pagamento posterior)</t>
  </si>
  <si>
    <t>(Isenções Taxa e Fundos Microempresa e Empresa de Pequeno Porte) 93 IV - Protesto completo de título de crédito, compreendendo apontamento, instrumento e seu registro, sobre o valor de até R$ 392,29  (pagamento posterior)</t>
  </si>
  <si>
    <t>(Isenções Taxa e Fundos Microempresa e Empresa de Pequeno Porte) 93 V - Protesto completo de título de crédito, compreendendo apontamento, instrumento e seu registro, sobre o valor de até R$ 523,05  (pagamento posterior)</t>
  </si>
  <si>
    <t>(Isenções Taxa e Fundos Microempresa e Empresa de Pequeno Porte) 93 VI - Protesto completo de título de crédito, compreendendo apontamento, instrumento e seu registro, sobre o valor de até R$ 653,80  (pagamento posterior)</t>
  </si>
  <si>
    <t>(Isenções Taxa e Fundos Microempresa e Empresa de Pequeno Porte) 93 VII - Protesto completo de título de crédito, compreendendo apontamento, instrumento e seu registro, sobre o valor de até R$ 1.307,62  (pagamento posterior)</t>
  </si>
  <si>
    <t>(Isenções Taxa e Fundos Microempresa e Empresa de Pequeno Porte) 93 VIII - Protesto completo de título de crédito, compreendendo apontamento, instrumento e seu registro, sobre o valor de até R$ 2.615,24  (pagamento posterior)</t>
  </si>
  <si>
    <t>(Isenções Taxa e Fundos Microempresa e Empresa de Pequeno Porte) 93 IX - Protesto completo de título de crédito, compreendendo apontamento, instrumento e seu registro, sobre o valor de até R$ 6.538,10  (pagamento posterior)</t>
  </si>
  <si>
    <t>(Isenções Taxa e Fundos Microempresa e Empresa de Pequeno Porte) 93 X - Protesto completo de título de crédito, compreendendo apontamento, instrumento e seu registro, sobre o valor de até R$ 13.076,18  (pagamento posterior)</t>
  </si>
  <si>
    <t>(Isenções Taxa e Fundos Microempresa e Empresa de Pequeno Porte) 93 XI - Protesto completo de título de crédito, compreendendo apontamento, instrumento e seu registro, sobre o valor de até R$ 26.152,37  (pagamento posterior)</t>
  </si>
  <si>
    <t>(Isenções Taxa e Fundos Microempresa e Empresa de Pequeno Porte) 93 XII - Protesto completo de título de crédito, compreendendo apontamento, instrumento e seu registro, sobre o valor acima de R$ 26.152,37  (pagamento posterior)</t>
  </si>
  <si>
    <t>(Isenções Taxa e Fundos Microempresa e Empresa de Pequeno Porte) 94 - Intimação, por pessoa, exceto quando os intimados tiverem o mesmo endereço (pagamento posterior)</t>
  </si>
  <si>
    <t>(Isenções Taxa e Fundos Microempresa e Empresa de Pequeno Porte) 95  - Averbação de documento que determine a alteração ou o cancelamento de protesto, de quitação ou de qualquer outro, com ou sem valor econômico (pagamento posterior)</t>
  </si>
  <si>
    <t>(Isenções Taxa e Fundos Microempresa e Empresa de Pequeno Porte) Apontamentos – Protocolização de títulos e outros documentos de dívidas para protestos (pagamento diferido com acréscimo de 50%)</t>
  </si>
  <si>
    <t>(Isenções Taxa e Fundos Microempresa e Empresa de Pequeno Porte) 93 I - Protesto completo de título de crédito, compreendendo apontamento, instrumento e seu registro, sobre o valor de até R$ 65,38 (pagamento diferido com acréscimo de 50%)</t>
  </si>
  <si>
    <t>(Isenções Taxa e Fundos Microempresa e Empresa de Pequeno Porte) 93 II - Protesto completo de título de crédito, compreendendo apontamento, instrumento e seu registro, sobre o valor de até R$ 130,76 (pagamento diferido com acréscimo de 50%)</t>
  </si>
  <si>
    <t>(Isenções Taxa e Fundos Microempresa e Empresa de Pequeno Porte) 93 III - Protesto completo de título de crédito, compreendendo apontamento, instrumento e seu registro, sobre o valor de até R$ 261,52 (pagamento diferido com acréscimo de 50%)</t>
  </si>
  <si>
    <t>(Isenções Taxa e Fundos Microempresa e Empresa de Pequeno Porte) 93 IV - Protesto completo de título de crédito, compreendendo apontamento, instrumento e seu registro, sobre o valor de até R$ 392,29 (pagamento diferido com acréscimo de 50%)</t>
  </si>
  <si>
    <t>(Isenções Taxa e Fundos Microempresa e Empresa de Pequeno Porte) 93 V - Protesto completo de título de crédito, compreendendo apontamento, instrumento e seu registro, sobre o valor de até R$ 523,05 (pagamento diferido com acréscimo de 50%)</t>
  </si>
  <si>
    <t>(Isenções Taxa e Fundos Microempresa e Empresa de Pequeno Porte) 93 VI - Protesto completo de título de crédito, compreendendo apontamento, instrumento e seu registro, sobre o valor de até R$ 653,80 (pagamento diferido com acréscimo de 50%)</t>
  </si>
  <si>
    <t>(Isenções Taxa e Fundos Microempresa e Empresa de Pequeno Porte) 93 VII - Protesto completo de título de crédito, compreendendo apontamento, instrumento e seu registro, sobre o valor de até R$ 1.307,62 (pagamento diferido com acréscimo de 50%)</t>
  </si>
  <si>
    <t>(Isenções Taxa e Fundos Microempresa e Empresa de Pequeno Porte) 93 VIII - Protesto completo de título de crédito, compreendendo apontamento, instrumento e seu registro, sobre o valor de até R$ 2.615,24 (pagamento diferido com acréscimo de 50%)</t>
  </si>
  <si>
    <t>(Isenções Taxa e Fundos Microempresa e Empresa de Pequeno Porte) 93 IX - Protesto completo de título de crédito, compreendendo apontamento, instrumento e seu registro, sobre o valor de até R$ 6.538,10 (pagamento diferido com acréscimo de 50%)</t>
  </si>
  <si>
    <t>(Isenções Taxa e Fundos Microempresa e Empresa de Pequeno Porte) 93 X - Protesto completo de título de crédito, compreendendo apontamento, instrumento e seu registro, sobre o valor de até R$ 13.076,18 (pagamento diferido com acréscimo de 50%)</t>
  </si>
  <si>
    <t>(Isenções Taxa e Fundos Microempresa e Empresa de Pequeno Porte) 93 XI - Protesto completo de título de crédito, compreendendo apontamento, instrumento e seu registro, sobre o valor de até R$ 26.152,37 (pagamento diferido com acréscimo de 50%)</t>
  </si>
  <si>
    <t>(Isenções Taxa e Fundos Microempresa e Empresa de Pequeno Porte) 93 XII - Protesto completo de título de crédito, compreendendo apontamento, instrumento e seu registro, sobre o valor acima de R$ 26.152,37 (pagamento diferido com acréscimo de 50%)</t>
  </si>
  <si>
    <t>(Isenções Taxa e Fundos Microempresa e Empresa de Pequeno Porte) 94 - Intimação, por pessoa, exceto quando os intimados tiverem o mesmo endereço (pagamento diferido com acréscimo de 50%)</t>
  </si>
  <si>
    <t>(Isenções Taxa e Fundos Microempresa e Empresa de Pequeno Porte) 95 - Averbação de documento que determine a alteração ou o cancelamento de protesto, de quitação ou de qualquer outro, com ou sem valor econômico (pagamento diferido com acréscimo de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</si>
</sst>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Calibri Light"/>
      <family val="2"/>
    </font>
    <font>
      <sz val="10"/>
      <color rgb="FF000000"/>
      <name val="Arial"/>
      <family val="2"/>
    </font>
    <font>
      <sz val="7"/>
      <color rgb="FF00B050"/>
      <name val="Calibri Light"/>
      <family val="2"/>
    </font>
    <font>
      <sz val="7"/>
      <color rgb="FF000000"/>
      <name val="Calibri Light"/>
      <family val="2"/>
    </font>
    <font>
      <sz val="10"/>
      <color rgb="FF000000"/>
      <name val="Calibri Light"/>
      <family val="2"/>
    </font>
    <font>
      <b/>
      <sz val="8"/>
      <color rgb="FFA6A6A6"/>
      <name val="Calibri Light"/>
      <family val="2"/>
    </font>
    <font>
      <b/>
      <sz val="7"/>
      <color rgb="FF000000"/>
      <name val="Calibri Light"/>
      <family val="2"/>
    </font>
    <font>
      <sz val="7"/>
      <color rgb="FFFF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F628-96E4-49D1-BDE2-91F4FF0FB91D}">
  <dimension ref="A1:H135"/>
  <sheetViews>
    <sheetView tabSelected="1" zoomScale="130" zoomScaleNormal="130" workbookViewId="0">
      <selection activeCell="B40" sqref="B40"/>
    </sheetView>
  </sheetViews>
  <sheetFormatPr defaultRowHeight="15" x14ac:dyDescent="0.25"/>
  <cols>
    <col min="2" max="2" width="116.5703125" customWidth="1"/>
    <col min="3" max="3" width="19.7109375" customWidth="1"/>
  </cols>
  <sheetData>
    <row r="1" spans="1:8" ht="25.5" x14ac:dyDescent="0.25">
      <c r="A1" s="9" t="s">
        <v>30</v>
      </c>
      <c r="B1" s="10" t="s">
        <v>31</v>
      </c>
      <c r="C1" s="11" t="s">
        <v>32</v>
      </c>
      <c r="D1" s="10" t="s">
        <v>33</v>
      </c>
      <c r="E1" s="12" t="s">
        <v>34</v>
      </c>
      <c r="F1" s="13" t="s">
        <v>35</v>
      </c>
      <c r="G1" s="3" t="s">
        <v>35</v>
      </c>
      <c r="H1" s="3" t="s">
        <v>36</v>
      </c>
    </row>
    <row r="2" spans="1:8" ht="25.5" x14ac:dyDescent="0.25">
      <c r="A2" s="9"/>
      <c r="B2" s="10"/>
      <c r="C2" s="11"/>
      <c r="D2" s="10"/>
      <c r="E2" s="12"/>
      <c r="F2" s="13" t="s">
        <v>37</v>
      </c>
      <c r="G2" s="3" t="s">
        <v>38</v>
      </c>
      <c r="H2" s="3" t="s">
        <v>37</v>
      </c>
    </row>
    <row r="3" spans="1:8" x14ac:dyDescent="0.25">
      <c r="A3" s="1">
        <v>1406</v>
      </c>
      <c r="B3" s="2" t="s">
        <v>2</v>
      </c>
      <c r="C3" s="3">
        <v>65.38</v>
      </c>
      <c r="D3" s="4">
        <v>3081</v>
      </c>
      <c r="E3" s="5">
        <v>3080</v>
      </c>
      <c r="F3" s="6">
        <v>15.97</v>
      </c>
      <c r="G3" s="6">
        <v>16.68</v>
      </c>
      <c r="H3" s="7">
        <v>0</v>
      </c>
    </row>
    <row r="4" spans="1:8" x14ac:dyDescent="0.25">
      <c r="A4" s="1">
        <v>1407</v>
      </c>
      <c r="B4" s="2" t="s">
        <v>3</v>
      </c>
      <c r="C4" s="3">
        <v>130.76</v>
      </c>
      <c r="D4" s="4">
        <v>3082</v>
      </c>
      <c r="E4" s="5">
        <v>3080</v>
      </c>
      <c r="F4" s="6">
        <v>23.1</v>
      </c>
      <c r="G4" s="6">
        <v>24.13</v>
      </c>
      <c r="H4" s="7">
        <v>0</v>
      </c>
    </row>
    <row r="5" spans="1:8" x14ac:dyDescent="0.25">
      <c r="A5" s="1">
        <v>1408</v>
      </c>
      <c r="B5" s="2" t="s">
        <v>4</v>
      </c>
      <c r="C5" s="3">
        <v>261.52</v>
      </c>
      <c r="D5" s="4">
        <v>3083</v>
      </c>
      <c r="E5" s="5">
        <v>3080</v>
      </c>
      <c r="F5" s="6">
        <v>42.63</v>
      </c>
      <c r="G5" s="6">
        <v>44.53</v>
      </c>
      <c r="H5" s="7">
        <v>0</v>
      </c>
    </row>
    <row r="6" spans="1:8" x14ac:dyDescent="0.25">
      <c r="A6" s="1">
        <v>1409</v>
      </c>
      <c r="B6" s="2" t="s">
        <v>5</v>
      </c>
      <c r="C6" s="3">
        <v>392.29</v>
      </c>
      <c r="D6" s="4">
        <v>3084</v>
      </c>
      <c r="E6" s="5">
        <v>3080</v>
      </c>
      <c r="F6" s="6">
        <v>65.73</v>
      </c>
      <c r="G6" s="6">
        <v>68.66</v>
      </c>
      <c r="H6" s="7">
        <v>0</v>
      </c>
    </row>
    <row r="7" spans="1:8" x14ac:dyDescent="0.25">
      <c r="A7" s="1">
        <v>1410</v>
      </c>
      <c r="B7" s="2" t="s">
        <v>6</v>
      </c>
      <c r="C7" s="3">
        <v>523.04999999999995</v>
      </c>
      <c r="D7" s="4">
        <v>3085</v>
      </c>
      <c r="E7" s="5">
        <v>3080</v>
      </c>
      <c r="F7" s="6">
        <v>104.81</v>
      </c>
      <c r="G7" s="6">
        <v>109.48</v>
      </c>
      <c r="H7" s="7">
        <v>0</v>
      </c>
    </row>
    <row r="8" spans="1:8" x14ac:dyDescent="0.25">
      <c r="A8" s="1">
        <v>1411</v>
      </c>
      <c r="B8" s="2" t="s">
        <v>7</v>
      </c>
      <c r="C8" s="3">
        <v>653.79999999999995</v>
      </c>
      <c r="D8" s="4">
        <v>3086</v>
      </c>
      <c r="E8" s="5">
        <v>3080</v>
      </c>
      <c r="F8" s="6">
        <v>119.02</v>
      </c>
      <c r="G8" s="6">
        <v>124.33</v>
      </c>
      <c r="H8" s="7">
        <v>0</v>
      </c>
    </row>
    <row r="9" spans="1:8" ht="25.5" x14ac:dyDescent="0.25">
      <c r="A9" s="1">
        <v>1412</v>
      </c>
      <c r="B9" s="2" t="s">
        <v>8</v>
      </c>
      <c r="C9" s="3">
        <v>1307.6199999999999</v>
      </c>
      <c r="D9" s="4">
        <v>3087</v>
      </c>
      <c r="E9" s="5">
        <v>3080</v>
      </c>
      <c r="F9" s="6">
        <v>161.66999999999999</v>
      </c>
      <c r="G9" s="6">
        <v>168.88</v>
      </c>
      <c r="H9" s="7">
        <v>0</v>
      </c>
    </row>
    <row r="10" spans="1:8" ht="25.5" x14ac:dyDescent="0.25">
      <c r="A10" s="1">
        <v>1413</v>
      </c>
      <c r="B10" s="2" t="s">
        <v>9</v>
      </c>
      <c r="C10" s="3">
        <v>2615.2399999999998</v>
      </c>
      <c r="D10" s="4">
        <v>3088</v>
      </c>
      <c r="E10" s="5">
        <v>3080</v>
      </c>
      <c r="F10" s="6">
        <v>218.52</v>
      </c>
      <c r="G10" s="6">
        <v>228.27</v>
      </c>
      <c r="H10" s="7">
        <v>0</v>
      </c>
    </row>
    <row r="11" spans="1:8" x14ac:dyDescent="0.25">
      <c r="A11" s="1">
        <v>1414</v>
      </c>
      <c r="B11" s="2" t="s">
        <v>10</v>
      </c>
      <c r="C11" s="3">
        <v>6538.1</v>
      </c>
      <c r="D11" s="4">
        <v>3089</v>
      </c>
      <c r="E11" s="5">
        <v>3080</v>
      </c>
      <c r="F11" s="6">
        <v>289.57</v>
      </c>
      <c r="G11" s="6">
        <v>302.48</v>
      </c>
      <c r="H11" s="7">
        <v>0</v>
      </c>
    </row>
    <row r="12" spans="1:8" ht="25.5" x14ac:dyDescent="0.25">
      <c r="A12" s="1">
        <v>1415</v>
      </c>
      <c r="B12" s="2" t="s">
        <v>11</v>
      </c>
      <c r="C12" s="3">
        <v>13076.18</v>
      </c>
      <c r="D12" s="4">
        <v>3090</v>
      </c>
      <c r="E12" s="5">
        <v>3080</v>
      </c>
      <c r="F12" s="6">
        <v>438.79</v>
      </c>
      <c r="G12" s="6">
        <v>458.36</v>
      </c>
      <c r="H12" s="7">
        <v>0</v>
      </c>
    </row>
    <row r="13" spans="1:8" ht="25.5" x14ac:dyDescent="0.25">
      <c r="A13" s="1">
        <v>1416</v>
      </c>
      <c r="B13" s="2" t="s">
        <v>12</v>
      </c>
      <c r="C13" s="3">
        <v>26152.37</v>
      </c>
      <c r="D13" s="4">
        <v>3091</v>
      </c>
      <c r="E13" s="5">
        <v>3080</v>
      </c>
      <c r="F13" s="6">
        <v>579.13</v>
      </c>
      <c r="G13" s="6">
        <v>604.96</v>
      </c>
      <c r="H13" s="7">
        <v>0</v>
      </c>
    </row>
    <row r="14" spans="1:8" ht="25.5" x14ac:dyDescent="0.25">
      <c r="A14" s="1">
        <v>1417</v>
      </c>
      <c r="B14" s="2" t="s">
        <v>13</v>
      </c>
      <c r="C14" s="3">
        <v>26152.37</v>
      </c>
      <c r="D14" s="4">
        <v>3092</v>
      </c>
      <c r="E14" s="5">
        <v>3080</v>
      </c>
      <c r="F14" s="6">
        <v>724.79</v>
      </c>
      <c r="G14" s="6">
        <v>757.12</v>
      </c>
      <c r="H14" s="7">
        <v>0</v>
      </c>
    </row>
    <row r="15" spans="1:8" x14ac:dyDescent="0.25">
      <c r="A15" s="1">
        <v>1418</v>
      </c>
      <c r="B15" s="2" t="s">
        <v>14</v>
      </c>
      <c r="C15" s="3" t="s">
        <v>0</v>
      </c>
      <c r="D15" s="4">
        <v>3093</v>
      </c>
      <c r="E15" s="5">
        <v>3080</v>
      </c>
      <c r="F15" s="6">
        <v>7.11</v>
      </c>
      <c r="G15" s="6">
        <v>7.43</v>
      </c>
      <c r="H15" s="7">
        <v>0</v>
      </c>
    </row>
    <row r="16" spans="1:8" ht="25.5" x14ac:dyDescent="0.25">
      <c r="A16" s="1">
        <v>1419</v>
      </c>
      <c r="B16" s="2" t="s">
        <v>15</v>
      </c>
      <c r="C16" s="3" t="s">
        <v>0</v>
      </c>
      <c r="D16" s="4">
        <v>3094</v>
      </c>
      <c r="E16" s="5">
        <v>3080</v>
      </c>
      <c r="F16" s="6">
        <v>35.53</v>
      </c>
      <c r="G16" s="6">
        <v>37.11</v>
      </c>
      <c r="H16" s="7">
        <v>0</v>
      </c>
    </row>
    <row r="17" spans="1:8" x14ac:dyDescent="0.25">
      <c r="A17" s="1">
        <v>1420</v>
      </c>
      <c r="B17" s="2" t="s">
        <v>16</v>
      </c>
      <c r="C17" s="3" t="s">
        <v>0</v>
      </c>
      <c r="D17" s="4">
        <v>3095</v>
      </c>
      <c r="E17" s="8" t="s">
        <v>1</v>
      </c>
      <c r="F17" s="6">
        <v>55.07</v>
      </c>
      <c r="G17" s="6">
        <v>57.53</v>
      </c>
      <c r="H17" s="7">
        <v>19.170000000000002</v>
      </c>
    </row>
    <row r="18" spans="1:8" x14ac:dyDescent="0.25">
      <c r="A18" s="1">
        <v>1421</v>
      </c>
      <c r="B18" s="2" t="s">
        <v>17</v>
      </c>
      <c r="C18" s="3" t="s">
        <v>0</v>
      </c>
      <c r="D18" s="4">
        <v>3096</v>
      </c>
      <c r="E18" s="5">
        <v>3095</v>
      </c>
      <c r="F18" s="6">
        <v>7.86</v>
      </c>
      <c r="G18" s="6">
        <v>8.2100000000000009</v>
      </c>
      <c r="H18" s="7">
        <v>0</v>
      </c>
    </row>
    <row r="19" spans="1:8" x14ac:dyDescent="0.25">
      <c r="A19" s="1">
        <v>1422</v>
      </c>
      <c r="B19" s="2" t="s">
        <v>18</v>
      </c>
      <c r="C19" s="3">
        <v>65.38</v>
      </c>
      <c r="D19" s="4">
        <v>3097</v>
      </c>
      <c r="E19" s="5">
        <v>3080</v>
      </c>
      <c r="F19" s="6">
        <v>6.39</v>
      </c>
      <c r="G19" s="6">
        <f t="shared" ref="G19:G30" si="0">G3*0.4</f>
        <v>6.6720000000000006</v>
      </c>
      <c r="H19" s="7">
        <v>0</v>
      </c>
    </row>
    <row r="20" spans="1:8" x14ac:dyDescent="0.25">
      <c r="A20" s="1">
        <v>1423</v>
      </c>
      <c r="B20" s="2" t="s">
        <v>19</v>
      </c>
      <c r="C20" s="3">
        <v>130.76</v>
      </c>
      <c r="D20" s="4">
        <v>3098</v>
      </c>
      <c r="E20" s="5">
        <v>3080</v>
      </c>
      <c r="F20" s="6">
        <v>9.24</v>
      </c>
      <c r="G20" s="6">
        <f t="shared" si="0"/>
        <v>9.652000000000001</v>
      </c>
      <c r="H20" s="7">
        <v>0</v>
      </c>
    </row>
    <row r="21" spans="1:8" x14ac:dyDescent="0.25">
      <c r="A21" s="1">
        <v>1424</v>
      </c>
      <c r="B21" s="2" t="s">
        <v>20</v>
      </c>
      <c r="C21" s="3">
        <v>261.52</v>
      </c>
      <c r="D21" s="4">
        <v>3099</v>
      </c>
      <c r="E21" s="5">
        <v>3080</v>
      </c>
      <c r="F21" s="6">
        <v>17.05</v>
      </c>
      <c r="G21" s="6">
        <f t="shared" si="0"/>
        <v>17.812000000000001</v>
      </c>
      <c r="H21" s="7">
        <v>0</v>
      </c>
    </row>
    <row r="22" spans="1:8" x14ac:dyDescent="0.25">
      <c r="A22" s="1">
        <v>1425</v>
      </c>
      <c r="B22" s="2" t="s">
        <v>21</v>
      </c>
      <c r="C22" s="3">
        <v>392.29</v>
      </c>
      <c r="D22" s="4">
        <v>3100</v>
      </c>
      <c r="E22" s="5">
        <v>3080</v>
      </c>
      <c r="F22" s="6">
        <v>26.29</v>
      </c>
      <c r="G22" s="6">
        <f t="shared" si="0"/>
        <v>27.463999999999999</v>
      </c>
      <c r="H22" s="7">
        <v>0</v>
      </c>
    </row>
    <row r="23" spans="1:8" x14ac:dyDescent="0.25">
      <c r="A23" s="1">
        <v>1426</v>
      </c>
      <c r="B23" s="2" t="s">
        <v>22</v>
      </c>
      <c r="C23" s="3">
        <v>523.04999999999995</v>
      </c>
      <c r="D23" s="4">
        <v>3101</v>
      </c>
      <c r="E23" s="5">
        <v>3080</v>
      </c>
      <c r="F23" s="6">
        <v>41.92</v>
      </c>
      <c r="G23" s="6">
        <f t="shared" si="0"/>
        <v>43.792000000000002</v>
      </c>
      <c r="H23" s="7">
        <v>0</v>
      </c>
    </row>
    <row r="24" spans="1:8" x14ac:dyDescent="0.25">
      <c r="A24" s="1">
        <v>1427</v>
      </c>
      <c r="B24" s="2" t="s">
        <v>23</v>
      </c>
      <c r="C24" s="3">
        <v>653.79999999999995</v>
      </c>
      <c r="D24" s="4">
        <v>3102</v>
      </c>
      <c r="E24" s="5">
        <v>3080</v>
      </c>
      <c r="F24" s="6">
        <v>47.62</v>
      </c>
      <c r="G24" s="6">
        <f t="shared" si="0"/>
        <v>49.731999999999999</v>
      </c>
      <c r="H24" s="7">
        <v>0</v>
      </c>
    </row>
    <row r="25" spans="1:8" x14ac:dyDescent="0.25">
      <c r="A25" s="1">
        <v>1428</v>
      </c>
      <c r="B25" s="2" t="s">
        <v>24</v>
      </c>
      <c r="C25" s="3">
        <v>1307.6199999999999</v>
      </c>
      <c r="D25" s="4">
        <v>3103</v>
      </c>
      <c r="E25" s="5">
        <v>3080</v>
      </c>
      <c r="F25" s="6">
        <v>64.67</v>
      </c>
      <c r="G25" s="6">
        <f t="shared" si="0"/>
        <v>67.552000000000007</v>
      </c>
      <c r="H25" s="7">
        <v>0</v>
      </c>
    </row>
    <row r="26" spans="1:8" x14ac:dyDescent="0.25">
      <c r="A26" s="1">
        <v>1429</v>
      </c>
      <c r="B26" s="2" t="s">
        <v>25</v>
      </c>
      <c r="C26" s="3">
        <v>2615.2399999999998</v>
      </c>
      <c r="D26" s="4">
        <v>3104</v>
      </c>
      <c r="E26" s="5">
        <v>3080</v>
      </c>
      <c r="F26" s="6">
        <v>87.4</v>
      </c>
      <c r="G26" s="6">
        <f t="shared" si="0"/>
        <v>91.308000000000007</v>
      </c>
      <c r="H26" s="7">
        <v>0</v>
      </c>
    </row>
    <row r="27" spans="1:8" x14ac:dyDescent="0.25">
      <c r="A27" s="1">
        <v>1430</v>
      </c>
      <c r="B27" s="2" t="s">
        <v>26</v>
      </c>
      <c r="C27" s="3">
        <v>6538.1</v>
      </c>
      <c r="D27" s="4">
        <v>3105</v>
      </c>
      <c r="E27" s="5">
        <v>3080</v>
      </c>
      <c r="F27" s="6">
        <v>115.83</v>
      </c>
      <c r="G27" s="6">
        <f t="shared" si="0"/>
        <v>120.99200000000002</v>
      </c>
      <c r="H27" s="7">
        <v>0</v>
      </c>
    </row>
    <row r="28" spans="1:8" x14ac:dyDescent="0.25">
      <c r="A28" s="1">
        <v>1431</v>
      </c>
      <c r="B28" s="2" t="s">
        <v>27</v>
      </c>
      <c r="C28" s="3">
        <v>13076.18</v>
      </c>
      <c r="D28" s="4">
        <v>3106</v>
      </c>
      <c r="E28" s="5">
        <v>3080</v>
      </c>
      <c r="F28" s="6">
        <v>175.52</v>
      </c>
      <c r="G28" s="6">
        <f t="shared" si="0"/>
        <v>183.34400000000002</v>
      </c>
      <c r="H28" s="7">
        <v>0</v>
      </c>
    </row>
    <row r="29" spans="1:8" x14ac:dyDescent="0.25">
      <c r="A29" s="1">
        <v>1432</v>
      </c>
      <c r="B29" s="2" t="s">
        <v>28</v>
      </c>
      <c r="C29" s="3">
        <v>26152.37</v>
      </c>
      <c r="D29" s="4">
        <v>3107</v>
      </c>
      <c r="E29" s="5">
        <v>3080</v>
      </c>
      <c r="F29" s="6">
        <v>231.65</v>
      </c>
      <c r="G29" s="6">
        <f t="shared" si="0"/>
        <v>241.98400000000004</v>
      </c>
      <c r="H29" s="7">
        <v>0</v>
      </c>
    </row>
    <row r="30" spans="1:8" x14ac:dyDescent="0.25">
      <c r="A30" s="1">
        <v>1433</v>
      </c>
      <c r="B30" s="2" t="s">
        <v>29</v>
      </c>
      <c r="C30" s="3">
        <v>26152.37</v>
      </c>
      <c r="D30" s="4">
        <v>3108</v>
      </c>
      <c r="E30" s="5">
        <v>3080</v>
      </c>
      <c r="F30" s="6">
        <v>289.92</v>
      </c>
      <c r="G30" s="6">
        <f t="shared" si="0"/>
        <v>302.84800000000001</v>
      </c>
      <c r="H30" s="7">
        <v>0</v>
      </c>
    </row>
    <row r="31" spans="1:8" x14ac:dyDescent="0.25">
      <c r="A31" s="1">
        <v>1434</v>
      </c>
      <c r="B31" s="2" t="s">
        <v>39</v>
      </c>
      <c r="C31" s="3" t="s">
        <v>0</v>
      </c>
      <c r="D31" s="4">
        <v>3109</v>
      </c>
      <c r="E31" s="8" t="s">
        <v>1</v>
      </c>
      <c r="F31" s="6">
        <v>55.07</v>
      </c>
      <c r="G31" s="6">
        <v>57.53</v>
      </c>
      <c r="H31" s="7">
        <v>19.170000000000002</v>
      </c>
    </row>
    <row r="32" spans="1:8" x14ac:dyDescent="0.25">
      <c r="A32" s="1">
        <v>1435</v>
      </c>
      <c r="B32" s="2" t="s">
        <v>40</v>
      </c>
      <c r="C32" s="3" t="s">
        <v>0</v>
      </c>
      <c r="D32" s="4">
        <v>3110</v>
      </c>
      <c r="E32" s="5">
        <v>3109</v>
      </c>
      <c r="F32" s="6">
        <v>3.56</v>
      </c>
      <c r="G32" s="6">
        <v>3.72</v>
      </c>
      <c r="H32" s="7">
        <v>0</v>
      </c>
    </row>
    <row r="33" spans="1:8" x14ac:dyDescent="0.25">
      <c r="A33" s="1">
        <v>1436</v>
      </c>
      <c r="B33" s="2" t="s">
        <v>41</v>
      </c>
      <c r="C33" s="3" t="s">
        <v>0</v>
      </c>
      <c r="D33" s="4">
        <v>3111</v>
      </c>
      <c r="E33" s="8" t="s">
        <v>1</v>
      </c>
      <c r="F33" s="6">
        <v>10.66</v>
      </c>
      <c r="G33" s="6">
        <v>11.14</v>
      </c>
      <c r="H33" s="7">
        <v>0</v>
      </c>
    </row>
    <row r="34" spans="1:8" x14ac:dyDescent="0.25">
      <c r="A34" s="1">
        <v>1437</v>
      </c>
      <c r="B34" s="2" t="s">
        <v>42</v>
      </c>
      <c r="C34" s="3" t="s">
        <v>0</v>
      </c>
      <c r="D34" s="4">
        <v>3112</v>
      </c>
      <c r="E34" s="8" t="s">
        <v>1</v>
      </c>
      <c r="F34" s="6">
        <v>0.59</v>
      </c>
      <c r="G34" s="6">
        <v>0.62</v>
      </c>
      <c r="H34" s="7">
        <v>0.17</v>
      </c>
    </row>
    <row r="35" spans="1:8" x14ac:dyDescent="0.25">
      <c r="A35" s="1">
        <v>1438</v>
      </c>
      <c r="B35" s="2" t="s">
        <v>43</v>
      </c>
      <c r="C35" s="3" t="s">
        <v>0</v>
      </c>
      <c r="D35" s="4">
        <v>3113</v>
      </c>
      <c r="E35" s="8" t="s">
        <v>1</v>
      </c>
      <c r="F35" s="6">
        <v>3.56</v>
      </c>
      <c r="G35" s="6">
        <v>3.72</v>
      </c>
      <c r="H35" s="7">
        <v>0</v>
      </c>
    </row>
    <row r="36" spans="1:8" x14ac:dyDescent="0.25">
      <c r="A36" s="1">
        <v>1439</v>
      </c>
      <c r="B36" s="2" t="s">
        <v>44</v>
      </c>
      <c r="C36" s="3" t="s">
        <v>0</v>
      </c>
      <c r="D36" s="4">
        <v>3114</v>
      </c>
      <c r="E36" s="8" t="s">
        <v>1</v>
      </c>
      <c r="F36" s="6">
        <v>0</v>
      </c>
      <c r="G36" s="6">
        <v>0</v>
      </c>
      <c r="H36" s="7">
        <v>0</v>
      </c>
    </row>
    <row r="37" spans="1:8" x14ac:dyDescent="0.25">
      <c r="A37" s="1">
        <v>1440</v>
      </c>
      <c r="B37" s="2" t="s">
        <v>45</v>
      </c>
      <c r="C37" s="3" t="s">
        <v>0</v>
      </c>
      <c r="D37" s="4">
        <v>3115</v>
      </c>
      <c r="E37" s="8" t="s">
        <v>1</v>
      </c>
      <c r="F37" s="6">
        <v>71.040000000000006</v>
      </c>
      <c r="G37" s="6">
        <v>74.209999999999994</v>
      </c>
      <c r="H37" s="7">
        <v>0</v>
      </c>
    </row>
    <row r="38" spans="1:8" ht="25.5" x14ac:dyDescent="0.25">
      <c r="A38" s="1">
        <v>1441</v>
      </c>
      <c r="B38" s="2" t="s">
        <v>46</v>
      </c>
      <c r="C38" s="3" t="s">
        <v>0</v>
      </c>
      <c r="D38" s="4">
        <v>3683</v>
      </c>
      <c r="E38" s="14" t="s">
        <v>1</v>
      </c>
      <c r="F38" s="6">
        <v>55.07</v>
      </c>
      <c r="G38" s="6">
        <v>57.53</v>
      </c>
      <c r="H38" s="7">
        <v>19.170000000000002</v>
      </c>
    </row>
    <row r="39" spans="1:8" ht="25.5" x14ac:dyDescent="0.25">
      <c r="A39" s="1">
        <v>1442</v>
      </c>
      <c r="B39" s="2" t="s">
        <v>47</v>
      </c>
      <c r="C39" s="3" t="s">
        <v>0</v>
      </c>
      <c r="D39" s="4">
        <v>3684</v>
      </c>
      <c r="E39" s="14" t="s">
        <v>1</v>
      </c>
      <c r="F39" s="6">
        <v>181.21</v>
      </c>
      <c r="G39" s="6">
        <v>189.29</v>
      </c>
      <c r="H39" s="7">
        <v>55.19</v>
      </c>
    </row>
    <row r="40" spans="1:8" x14ac:dyDescent="0.25">
      <c r="A40" s="1">
        <v>1443</v>
      </c>
      <c r="B40" s="2" t="s">
        <v>48</v>
      </c>
      <c r="C40" s="3" t="s">
        <v>0</v>
      </c>
      <c r="D40" s="4">
        <v>3116</v>
      </c>
      <c r="E40" s="8" t="s">
        <v>1</v>
      </c>
      <c r="F40" s="6">
        <v>0</v>
      </c>
      <c r="G40" s="6">
        <v>0</v>
      </c>
      <c r="H40" s="7">
        <v>0</v>
      </c>
    </row>
    <row r="41" spans="1:8" ht="25.5" x14ac:dyDescent="0.25">
      <c r="A41" s="1">
        <v>1444</v>
      </c>
      <c r="B41" s="2" t="s">
        <v>49</v>
      </c>
      <c r="C41" s="3">
        <v>65.38</v>
      </c>
      <c r="D41" s="4">
        <v>3117</v>
      </c>
      <c r="E41" s="5">
        <v>3116</v>
      </c>
      <c r="F41" s="6">
        <v>0</v>
      </c>
      <c r="G41" s="6">
        <v>0</v>
      </c>
      <c r="H41" s="7">
        <v>0</v>
      </c>
    </row>
    <row r="42" spans="1:8" ht="25.5" x14ac:dyDescent="0.25">
      <c r="A42" s="1">
        <v>1445</v>
      </c>
      <c r="B42" s="2" t="s">
        <v>50</v>
      </c>
      <c r="C42" s="3">
        <v>130.76</v>
      </c>
      <c r="D42" s="4">
        <v>3118</v>
      </c>
      <c r="E42" s="5">
        <v>3116</v>
      </c>
      <c r="F42" s="6">
        <v>0</v>
      </c>
      <c r="G42" s="6">
        <v>0</v>
      </c>
      <c r="H42" s="7">
        <v>0</v>
      </c>
    </row>
    <row r="43" spans="1:8" ht="25.5" x14ac:dyDescent="0.25">
      <c r="A43" s="1">
        <v>1446</v>
      </c>
      <c r="B43" s="2" t="s">
        <v>51</v>
      </c>
      <c r="C43" s="3">
        <v>261.52</v>
      </c>
      <c r="D43" s="4">
        <v>3119</v>
      </c>
      <c r="E43" s="5">
        <v>3116</v>
      </c>
      <c r="F43" s="6">
        <v>0</v>
      </c>
      <c r="G43" s="6">
        <v>0</v>
      </c>
      <c r="H43" s="7">
        <v>0</v>
      </c>
    </row>
    <row r="44" spans="1:8" ht="25.5" x14ac:dyDescent="0.25">
      <c r="A44" s="1">
        <v>1447</v>
      </c>
      <c r="B44" s="2" t="s">
        <v>52</v>
      </c>
      <c r="C44" s="3">
        <v>392.29</v>
      </c>
      <c r="D44" s="4">
        <v>3120</v>
      </c>
      <c r="E44" s="5">
        <v>3116</v>
      </c>
      <c r="F44" s="6">
        <v>0</v>
      </c>
      <c r="G44" s="6">
        <v>0</v>
      </c>
      <c r="H44" s="7">
        <v>0</v>
      </c>
    </row>
    <row r="45" spans="1:8" ht="25.5" x14ac:dyDescent="0.25">
      <c r="A45" s="1">
        <v>1448</v>
      </c>
      <c r="B45" s="2" t="s">
        <v>53</v>
      </c>
      <c r="C45" s="3">
        <v>523.04999999999995</v>
      </c>
      <c r="D45" s="4">
        <v>3121</v>
      </c>
      <c r="E45" s="5">
        <v>3116</v>
      </c>
      <c r="F45" s="6">
        <v>0</v>
      </c>
      <c r="G45" s="6">
        <v>0</v>
      </c>
      <c r="H45" s="7">
        <v>0</v>
      </c>
    </row>
    <row r="46" spans="1:8" ht="25.5" x14ac:dyDescent="0.25">
      <c r="A46" s="1">
        <v>1449</v>
      </c>
      <c r="B46" s="2" t="s">
        <v>54</v>
      </c>
      <c r="C46" s="3">
        <v>653.79999999999995</v>
      </c>
      <c r="D46" s="4">
        <v>3122</v>
      </c>
      <c r="E46" s="5">
        <v>3116</v>
      </c>
      <c r="F46" s="6">
        <v>0</v>
      </c>
      <c r="G46" s="6">
        <v>0</v>
      </c>
      <c r="H46" s="7">
        <v>0</v>
      </c>
    </row>
    <row r="47" spans="1:8" ht="25.5" x14ac:dyDescent="0.25">
      <c r="A47" s="1">
        <v>1450</v>
      </c>
      <c r="B47" s="2" t="s">
        <v>55</v>
      </c>
      <c r="C47" s="3">
        <v>1307.6199999999999</v>
      </c>
      <c r="D47" s="4">
        <v>3123</v>
      </c>
      <c r="E47" s="5">
        <v>3116</v>
      </c>
      <c r="F47" s="6">
        <v>0</v>
      </c>
      <c r="G47" s="6">
        <v>0</v>
      </c>
      <c r="H47" s="7">
        <v>0</v>
      </c>
    </row>
    <row r="48" spans="1:8" ht="25.5" x14ac:dyDescent="0.25">
      <c r="A48" s="1">
        <v>1451</v>
      </c>
      <c r="B48" s="2" t="s">
        <v>56</v>
      </c>
      <c r="C48" s="3">
        <v>2615.2399999999998</v>
      </c>
      <c r="D48" s="4">
        <v>3124</v>
      </c>
      <c r="E48" s="5">
        <v>3116</v>
      </c>
      <c r="F48" s="6">
        <v>0</v>
      </c>
      <c r="G48" s="6">
        <v>0</v>
      </c>
      <c r="H48" s="7">
        <v>0</v>
      </c>
    </row>
    <row r="49" spans="1:8" ht="25.5" x14ac:dyDescent="0.25">
      <c r="A49" s="1">
        <v>1452</v>
      </c>
      <c r="B49" s="2" t="s">
        <v>57</v>
      </c>
      <c r="C49" s="3">
        <v>6538.1</v>
      </c>
      <c r="D49" s="4">
        <v>3125</v>
      </c>
      <c r="E49" s="5">
        <v>3116</v>
      </c>
      <c r="F49" s="6">
        <v>0</v>
      </c>
      <c r="G49" s="6">
        <v>0</v>
      </c>
      <c r="H49" s="7">
        <v>0</v>
      </c>
    </row>
    <row r="50" spans="1:8" ht="25.5" x14ac:dyDescent="0.25">
      <c r="A50" s="1">
        <v>1453</v>
      </c>
      <c r="B50" s="2" t="s">
        <v>58</v>
      </c>
      <c r="C50" s="3">
        <v>13076.18</v>
      </c>
      <c r="D50" s="4">
        <v>3126</v>
      </c>
      <c r="E50" s="5">
        <v>3116</v>
      </c>
      <c r="F50" s="6">
        <v>0</v>
      </c>
      <c r="G50" s="6">
        <v>0</v>
      </c>
      <c r="H50" s="7">
        <v>0</v>
      </c>
    </row>
    <row r="51" spans="1:8" ht="25.5" x14ac:dyDescent="0.25">
      <c r="A51" s="1">
        <v>1454</v>
      </c>
      <c r="B51" s="2" t="s">
        <v>59</v>
      </c>
      <c r="C51" s="3">
        <v>26152.37</v>
      </c>
      <c r="D51" s="4">
        <v>3127</v>
      </c>
      <c r="E51" s="5">
        <v>3116</v>
      </c>
      <c r="F51" s="6">
        <v>0</v>
      </c>
      <c r="G51" s="6">
        <v>0</v>
      </c>
      <c r="H51" s="7">
        <v>0</v>
      </c>
    </row>
    <row r="52" spans="1:8" ht="25.5" x14ac:dyDescent="0.25">
      <c r="A52" s="1">
        <v>1455</v>
      </c>
      <c r="B52" s="2" t="s">
        <v>60</v>
      </c>
      <c r="C52" s="3">
        <v>26152.37</v>
      </c>
      <c r="D52" s="4">
        <v>3128</v>
      </c>
      <c r="E52" s="5">
        <v>3116</v>
      </c>
      <c r="F52" s="6">
        <v>0</v>
      </c>
      <c r="G52" s="6">
        <v>0</v>
      </c>
      <c r="H52" s="7">
        <v>0</v>
      </c>
    </row>
    <row r="53" spans="1:8" x14ac:dyDescent="0.25">
      <c r="A53" s="1">
        <v>1456</v>
      </c>
      <c r="B53" s="2" t="s">
        <v>61</v>
      </c>
      <c r="C53" s="3" t="s">
        <v>0</v>
      </c>
      <c r="D53" s="4">
        <v>3129</v>
      </c>
      <c r="E53" s="5">
        <v>3116</v>
      </c>
      <c r="F53" s="6">
        <v>0</v>
      </c>
      <c r="G53" s="6">
        <v>0</v>
      </c>
      <c r="H53" s="7">
        <v>0</v>
      </c>
    </row>
    <row r="54" spans="1:8" ht="25.5" x14ac:dyDescent="0.25">
      <c r="A54" s="1">
        <v>1457</v>
      </c>
      <c r="B54" s="2" t="s">
        <v>62</v>
      </c>
      <c r="C54" s="3" t="s">
        <v>0</v>
      </c>
      <c r="D54" s="4">
        <v>3130</v>
      </c>
      <c r="E54" s="5">
        <v>3116</v>
      </c>
      <c r="F54" s="6">
        <v>0</v>
      </c>
      <c r="G54" s="6">
        <v>0</v>
      </c>
      <c r="H54" s="7">
        <v>0</v>
      </c>
    </row>
    <row r="55" spans="1:8" x14ac:dyDescent="0.25">
      <c r="A55" s="15">
        <v>1458</v>
      </c>
      <c r="B55" s="2" t="s">
        <v>63</v>
      </c>
      <c r="C55" s="3" t="s">
        <v>0</v>
      </c>
      <c r="D55" s="4">
        <v>3131</v>
      </c>
      <c r="E55" s="5">
        <v>3116</v>
      </c>
      <c r="F55" s="6">
        <v>0</v>
      </c>
      <c r="G55" s="6">
        <v>0</v>
      </c>
      <c r="H55" s="7">
        <v>17.68</v>
      </c>
    </row>
    <row r="56" spans="1:8" ht="25.5" x14ac:dyDescent="0.25">
      <c r="A56" s="15">
        <v>1459</v>
      </c>
      <c r="B56" s="2" t="s">
        <v>64</v>
      </c>
      <c r="C56" s="3">
        <v>65.38</v>
      </c>
      <c r="D56" s="4">
        <v>3132</v>
      </c>
      <c r="E56" s="5">
        <v>3116</v>
      </c>
      <c r="F56" s="6">
        <v>23.97</v>
      </c>
      <c r="G56" s="6">
        <f>G3*0.5+G3</f>
        <v>25.02</v>
      </c>
      <c r="H56" s="7">
        <v>0</v>
      </c>
    </row>
    <row r="57" spans="1:8" ht="25.5" x14ac:dyDescent="0.25">
      <c r="A57" s="15">
        <v>1460</v>
      </c>
      <c r="B57" s="2" t="s">
        <v>65</v>
      </c>
      <c r="C57" s="3">
        <v>130.76</v>
      </c>
      <c r="D57" s="4">
        <v>3133</v>
      </c>
      <c r="E57" s="5">
        <v>3116</v>
      </c>
      <c r="F57" s="6">
        <v>34.659999999999997</v>
      </c>
      <c r="G57" s="6">
        <f>G4*0.5+G4</f>
        <v>36.195</v>
      </c>
      <c r="H57" s="7">
        <v>0</v>
      </c>
    </row>
    <row r="58" spans="1:8" ht="25.5" x14ac:dyDescent="0.25">
      <c r="A58" s="15">
        <v>1461</v>
      </c>
      <c r="B58" s="2" t="s">
        <v>66</v>
      </c>
      <c r="C58" s="3">
        <v>261.52</v>
      </c>
      <c r="D58" s="4">
        <v>3134</v>
      </c>
      <c r="E58" s="5">
        <v>3116</v>
      </c>
      <c r="F58" s="6">
        <v>63.95</v>
      </c>
      <c r="G58" s="6">
        <f>G5*0.5+G5</f>
        <v>66.795000000000002</v>
      </c>
      <c r="H58" s="7">
        <v>0</v>
      </c>
    </row>
    <row r="59" spans="1:8" ht="25.5" x14ac:dyDescent="0.25">
      <c r="A59" s="15">
        <v>1462</v>
      </c>
      <c r="B59" s="2" t="s">
        <v>67</v>
      </c>
      <c r="C59" s="3">
        <v>392.29</v>
      </c>
      <c r="D59" s="4">
        <v>3135</v>
      </c>
      <c r="E59" s="5">
        <v>3116</v>
      </c>
      <c r="F59" s="6">
        <v>98.6</v>
      </c>
      <c r="G59" s="6">
        <f>G6*0.5+G6</f>
        <v>102.99</v>
      </c>
      <c r="H59" s="7">
        <v>0</v>
      </c>
    </row>
    <row r="60" spans="1:8" ht="25.5" x14ac:dyDescent="0.25">
      <c r="A60" s="15">
        <v>1463</v>
      </c>
      <c r="B60" s="2" t="s">
        <v>68</v>
      </c>
      <c r="C60" s="3">
        <v>523.04999999999995</v>
      </c>
      <c r="D60" s="4">
        <v>3136</v>
      </c>
      <c r="E60" s="5">
        <v>3116</v>
      </c>
      <c r="F60" s="6">
        <v>157.21</v>
      </c>
      <c r="G60" s="6">
        <f>G7*0.5+G7</f>
        <v>164.22</v>
      </c>
      <c r="H60" s="7">
        <v>0</v>
      </c>
    </row>
    <row r="61" spans="1:8" ht="25.5" x14ac:dyDescent="0.25">
      <c r="A61" s="15">
        <v>1464</v>
      </c>
      <c r="B61" s="2" t="s">
        <v>69</v>
      </c>
      <c r="C61" s="3">
        <v>653.79999999999995</v>
      </c>
      <c r="D61" s="4">
        <v>3137</v>
      </c>
      <c r="E61" s="5">
        <v>3116</v>
      </c>
      <c r="F61" s="6">
        <v>178.54</v>
      </c>
      <c r="G61" s="6">
        <f>G8*0.5+G8</f>
        <v>186.495</v>
      </c>
      <c r="H61" s="7">
        <v>0</v>
      </c>
    </row>
    <row r="62" spans="1:8" ht="25.5" x14ac:dyDescent="0.25">
      <c r="A62" s="15">
        <v>1465</v>
      </c>
      <c r="B62" s="2" t="s">
        <v>70</v>
      </c>
      <c r="C62" s="3">
        <v>1307.6199999999999</v>
      </c>
      <c r="D62" s="4">
        <v>3138</v>
      </c>
      <c r="E62" s="5">
        <v>3116</v>
      </c>
      <c r="F62" s="6">
        <v>242.5</v>
      </c>
      <c r="G62" s="6">
        <f>G9*0.5+G9</f>
        <v>253.32</v>
      </c>
      <c r="H62" s="7">
        <v>0</v>
      </c>
    </row>
    <row r="63" spans="1:8" ht="25.5" x14ac:dyDescent="0.25">
      <c r="A63" s="15">
        <v>1466</v>
      </c>
      <c r="B63" s="2" t="s">
        <v>71</v>
      </c>
      <c r="C63" s="3">
        <v>2615.2399999999998</v>
      </c>
      <c r="D63" s="4">
        <v>3139</v>
      </c>
      <c r="E63" s="5">
        <v>3116</v>
      </c>
      <c r="F63" s="6">
        <v>327.78</v>
      </c>
      <c r="G63" s="6">
        <f>G10*0.5+G10</f>
        <v>342.40500000000003</v>
      </c>
      <c r="H63" s="7">
        <v>0</v>
      </c>
    </row>
    <row r="64" spans="1:8" ht="25.5" x14ac:dyDescent="0.25">
      <c r="A64" s="15">
        <v>1467</v>
      </c>
      <c r="B64" s="2" t="s">
        <v>72</v>
      </c>
      <c r="C64" s="3">
        <v>6538.1</v>
      </c>
      <c r="D64" s="4">
        <v>3140</v>
      </c>
      <c r="E64" s="5">
        <v>3116</v>
      </c>
      <c r="F64" s="6">
        <v>434.36</v>
      </c>
      <c r="G64" s="6">
        <f>G11*0.5+G11</f>
        <v>453.72</v>
      </c>
      <c r="H64" s="7">
        <v>0</v>
      </c>
    </row>
    <row r="65" spans="1:8" ht="25.5" x14ac:dyDescent="0.25">
      <c r="A65" s="15">
        <v>1468</v>
      </c>
      <c r="B65" s="2" t="s">
        <v>73</v>
      </c>
      <c r="C65" s="3">
        <v>13076.18</v>
      </c>
      <c r="D65" s="4">
        <v>3141</v>
      </c>
      <c r="E65" s="5">
        <v>3116</v>
      </c>
      <c r="F65" s="6">
        <v>658.19</v>
      </c>
      <c r="G65" s="6">
        <f>G12*0.5+G12</f>
        <v>687.54</v>
      </c>
      <c r="H65" s="7">
        <v>0</v>
      </c>
    </row>
    <row r="66" spans="1:8" ht="25.5" x14ac:dyDescent="0.25">
      <c r="A66" s="15">
        <v>1469</v>
      </c>
      <c r="B66" s="2" t="s">
        <v>74</v>
      </c>
      <c r="C66" s="3">
        <v>26152.37</v>
      </c>
      <c r="D66" s="4">
        <v>3142</v>
      </c>
      <c r="E66" s="5">
        <v>3116</v>
      </c>
      <c r="F66" s="6">
        <v>868.7</v>
      </c>
      <c r="G66" s="6">
        <f>G13*0.5+G13</f>
        <v>907.44</v>
      </c>
      <c r="H66" s="7">
        <v>0</v>
      </c>
    </row>
    <row r="67" spans="1:8" ht="25.5" x14ac:dyDescent="0.25">
      <c r="A67" s="15">
        <v>1470</v>
      </c>
      <c r="B67" s="2" t="s">
        <v>75</v>
      </c>
      <c r="C67" s="3">
        <v>26152.37</v>
      </c>
      <c r="D67" s="4">
        <v>3143</v>
      </c>
      <c r="E67" s="5">
        <v>3116</v>
      </c>
      <c r="F67" s="6">
        <v>1087.19</v>
      </c>
      <c r="G67" s="6">
        <f>G14*0.5+G14</f>
        <v>1135.68</v>
      </c>
      <c r="H67" s="7">
        <v>0</v>
      </c>
    </row>
    <row r="68" spans="1:8" x14ac:dyDescent="0.25">
      <c r="A68" s="15">
        <v>1471</v>
      </c>
      <c r="B68" s="2" t="s">
        <v>76</v>
      </c>
      <c r="C68" s="3" t="s">
        <v>0</v>
      </c>
      <c r="D68" s="4">
        <v>3144</v>
      </c>
      <c r="E68" s="5">
        <v>3116</v>
      </c>
      <c r="F68" s="6">
        <v>10.67</v>
      </c>
      <c r="G68" s="6">
        <f>7.43*0.5+7.43</f>
        <v>11.145</v>
      </c>
      <c r="H68" s="7">
        <v>0</v>
      </c>
    </row>
    <row r="69" spans="1:8" ht="25.5" x14ac:dyDescent="0.25">
      <c r="A69" s="15">
        <v>1472</v>
      </c>
      <c r="B69" s="2" t="s">
        <v>77</v>
      </c>
      <c r="C69" s="3" t="s">
        <v>0</v>
      </c>
      <c r="D69" s="4">
        <v>3145</v>
      </c>
      <c r="E69" s="5">
        <v>3116</v>
      </c>
      <c r="F69" s="6">
        <v>53.3</v>
      </c>
      <c r="G69" s="6">
        <f>37.11*0.5+37.11</f>
        <v>55.664999999999999</v>
      </c>
      <c r="H69" s="7">
        <v>0</v>
      </c>
    </row>
    <row r="70" spans="1:8" ht="25.5" x14ac:dyDescent="0.25">
      <c r="A70" s="1">
        <v>1473</v>
      </c>
      <c r="B70" s="2" t="s">
        <v>78</v>
      </c>
      <c r="C70" s="3" t="s">
        <v>0</v>
      </c>
      <c r="D70" s="4">
        <v>3146</v>
      </c>
      <c r="E70" s="8" t="s">
        <v>1</v>
      </c>
      <c r="F70" s="6">
        <v>0</v>
      </c>
      <c r="G70" s="6">
        <v>0</v>
      </c>
      <c r="H70" s="7">
        <v>0</v>
      </c>
    </row>
    <row r="71" spans="1:8" ht="25.5" x14ac:dyDescent="0.25">
      <c r="A71" s="1">
        <v>1474</v>
      </c>
      <c r="B71" s="2" t="s">
        <v>79</v>
      </c>
      <c r="C71" s="3">
        <v>65.38</v>
      </c>
      <c r="D71" s="4">
        <v>3147</v>
      </c>
      <c r="E71" s="5">
        <v>3146</v>
      </c>
      <c r="F71" s="6">
        <v>15.97</v>
      </c>
      <c r="G71" s="6">
        <v>16.68</v>
      </c>
      <c r="H71" s="7">
        <v>0</v>
      </c>
    </row>
    <row r="72" spans="1:8" ht="25.5" x14ac:dyDescent="0.25">
      <c r="A72" s="1">
        <v>1475</v>
      </c>
      <c r="B72" s="2" t="s">
        <v>80</v>
      </c>
      <c r="C72" s="3">
        <v>130.76</v>
      </c>
      <c r="D72" s="4">
        <v>3148</v>
      </c>
      <c r="E72" s="5">
        <v>3146</v>
      </c>
      <c r="F72" s="6">
        <v>23.1</v>
      </c>
      <c r="G72" s="6">
        <v>24.13</v>
      </c>
      <c r="H72" s="7">
        <v>0</v>
      </c>
    </row>
    <row r="73" spans="1:8" ht="25.5" x14ac:dyDescent="0.25">
      <c r="A73" s="1">
        <v>1476</v>
      </c>
      <c r="B73" s="2" t="s">
        <v>81</v>
      </c>
      <c r="C73" s="3">
        <v>261.52</v>
      </c>
      <c r="D73" s="4">
        <v>3149</v>
      </c>
      <c r="E73" s="5">
        <v>3146</v>
      </c>
      <c r="F73" s="6">
        <v>42.63</v>
      </c>
      <c r="G73" s="6">
        <v>44.53</v>
      </c>
      <c r="H73" s="7">
        <v>0</v>
      </c>
    </row>
    <row r="74" spans="1:8" ht="25.5" x14ac:dyDescent="0.25">
      <c r="A74" s="1">
        <v>1477</v>
      </c>
      <c r="B74" s="2" t="s">
        <v>82</v>
      </c>
      <c r="C74" s="3">
        <v>392.29</v>
      </c>
      <c r="D74" s="4">
        <v>3150</v>
      </c>
      <c r="E74" s="5">
        <v>3146</v>
      </c>
      <c r="F74" s="6">
        <v>65.73</v>
      </c>
      <c r="G74" s="6">
        <v>68.66</v>
      </c>
      <c r="H74" s="7">
        <v>0</v>
      </c>
    </row>
    <row r="75" spans="1:8" ht="25.5" x14ac:dyDescent="0.25">
      <c r="A75" s="1">
        <v>1478</v>
      </c>
      <c r="B75" s="2" t="s">
        <v>83</v>
      </c>
      <c r="C75" s="3">
        <v>523.04999999999995</v>
      </c>
      <c r="D75" s="4">
        <v>3151</v>
      </c>
      <c r="E75" s="5">
        <v>3146</v>
      </c>
      <c r="F75" s="6">
        <v>104.81</v>
      </c>
      <c r="G75" s="6">
        <v>109.48</v>
      </c>
      <c r="H75" s="7">
        <v>0</v>
      </c>
    </row>
    <row r="76" spans="1:8" ht="25.5" x14ac:dyDescent="0.25">
      <c r="A76" s="1">
        <v>1479</v>
      </c>
      <c r="B76" s="2" t="s">
        <v>84</v>
      </c>
      <c r="C76" s="3">
        <v>653.79999999999995</v>
      </c>
      <c r="D76" s="4">
        <v>3152</v>
      </c>
      <c r="E76" s="5">
        <v>3146</v>
      </c>
      <c r="F76" s="6">
        <v>119.02</v>
      </c>
      <c r="G76" s="6">
        <v>124.33</v>
      </c>
      <c r="H76" s="7">
        <v>0</v>
      </c>
    </row>
    <row r="77" spans="1:8" ht="25.5" x14ac:dyDescent="0.25">
      <c r="A77" s="1">
        <v>1480</v>
      </c>
      <c r="B77" s="2" t="s">
        <v>85</v>
      </c>
      <c r="C77" s="3">
        <v>1307.6199999999999</v>
      </c>
      <c r="D77" s="4">
        <v>3153</v>
      </c>
      <c r="E77" s="5">
        <v>3146</v>
      </c>
      <c r="F77" s="6">
        <v>161.66999999999999</v>
      </c>
      <c r="G77" s="6">
        <v>168.88</v>
      </c>
      <c r="H77" s="7">
        <v>0</v>
      </c>
    </row>
    <row r="78" spans="1:8" ht="25.5" x14ac:dyDescent="0.25">
      <c r="A78" s="1">
        <v>1481</v>
      </c>
      <c r="B78" s="2" t="s">
        <v>86</v>
      </c>
      <c r="C78" s="3">
        <v>2615.2399999999998</v>
      </c>
      <c r="D78" s="4">
        <v>3154</v>
      </c>
      <c r="E78" s="5">
        <v>3146</v>
      </c>
      <c r="F78" s="6">
        <v>218.52</v>
      </c>
      <c r="G78" s="6">
        <v>228.27</v>
      </c>
      <c r="H78" s="7">
        <v>0</v>
      </c>
    </row>
    <row r="79" spans="1:8" ht="25.5" x14ac:dyDescent="0.25">
      <c r="A79" s="1">
        <v>1482</v>
      </c>
      <c r="B79" s="2" t="s">
        <v>87</v>
      </c>
      <c r="C79" s="3">
        <v>6538.1</v>
      </c>
      <c r="D79" s="4">
        <v>3155</v>
      </c>
      <c r="E79" s="5">
        <v>3146</v>
      </c>
      <c r="F79" s="6">
        <v>289.57</v>
      </c>
      <c r="G79" s="6">
        <v>302.48</v>
      </c>
      <c r="H79" s="7">
        <v>0</v>
      </c>
    </row>
    <row r="80" spans="1:8" ht="25.5" x14ac:dyDescent="0.25">
      <c r="A80" s="1">
        <v>1483</v>
      </c>
      <c r="B80" s="2" t="s">
        <v>88</v>
      </c>
      <c r="C80" s="3">
        <v>13076.18</v>
      </c>
      <c r="D80" s="4">
        <v>3156</v>
      </c>
      <c r="E80" s="5">
        <v>3146</v>
      </c>
      <c r="F80" s="6">
        <v>438.79</v>
      </c>
      <c r="G80" s="6">
        <v>458.36</v>
      </c>
      <c r="H80" s="7">
        <v>0</v>
      </c>
    </row>
    <row r="81" spans="1:8" ht="25.5" x14ac:dyDescent="0.25">
      <c r="A81" s="1">
        <v>1484</v>
      </c>
      <c r="B81" s="2" t="s">
        <v>89</v>
      </c>
      <c r="C81" s="3">
        <v>26152.37</v>
      </c>
      <c r="D81" s="4">
        <v>3157</v>
      </c>
      <c r="E81" s="5">
        <v>3146</v>
      </c>
      <c r="F81" s="6">
        <v>579.13</v>
      </c>
      <c r="G81" s="6">
        <v>604.96</v>
      </c>
      <c r="H81" s="7">
        <v>0</v>
      </c>
    </row>
    <row r="82" spans="1:8" ht="25.5" x14ac:dyDescent="0.25">
      <c r="A82" s="1">
        <v>1485</v>
      </c>
      <c r="B82" s="2" t="s">
        <v>90</v>
      </c>
      <c r="C82" s="3">
        <v>26152.37</v>
      </c>
      <c r="D82" s="4">
        <v>3158</v>
      </c>
      <c r="E82" s="5">
        <v>3146</v>
      </c>
      <c r="F82" s="6">
        <v>724.79</v>
      </c>
      <c r="G82" s="6">
        <v>757.12</v>
      </c>
      <c r="H82" s="7">
        <v>0</v>
      </c>
    </row>
    <row r="83" spans="1:8" ht="25.5" x14ac:dyDescent="0.25">
      <c r="A83" s="1">
        <v>1486</v>
      </c>
      <c r="B83" s="2" t="s">
        <v>91</v>
      </c>
      <c r="C83" s="3" t="s">
        <v>0</v>
      </c>
      <c r="D83" s="4">
        <v>3159</v>
      </c>
      <c r="E83" s="5">
        <v>3146</v>
      </c>
      <c r="F83" s="6">
        <v>7.11</v>
      </c>
      <c r="G83" s="6">
        <v>7.43</v>
      </c>
      <c r="H83" s="7">
        <v>0</v>
      </c>
    </row>
    <row r="84" spans="1:8" ht="25.5" x14ac:dyDescent="0.25">
      <c r="A84" s="1">
        <v>1487</v>
      </c>
      <c r="B84" s="2" t="s">
        <v>92</v>
      </c>
      <c r="C84" s="3" t="s">
        <v>0</v>
      </c>
      <c r="D84" s="4">
        <v>3160</v>
      </c>
      <c r="E84" s="5">
        <v>3146</v>
      </c>
      <c r="F84" s="6">
        <v>35.53</v>
      </c>
      <c r="G84" s="6">
        <v>37.11</v>
      </c>
      <c r="H84" s="7">
        <v>0</v>
      </c>
    </row>
    <row r="85" spans="1:8" ht="25.5" x14ac:dyDescent="0.25">
      <c r="A85" s="1">
        <v>1488</v>
      </c>
      <c r="B85" s="2" t="s">
        <v>93</v>
      </c>
      <c r="C85" s="3" t="s">
        <v>0</v>
      </c>
      <c r="D85" s="4">
        <v>3161</v>
      </c>
      <c r="E85" s="5">
        <v>3146</v>
      </c>
      <c r="F85" s="6">
        <v>55.07</v>
      </c>
      <c r="G85" s="6">
        <f>57.53</f>
        <v>57.53</v>
      </c>
      <c r="H85" s="7">
        <v>0</v>
      </c>
    </row>
    <row r="86" spans="1:8" ht="25.5" x14ac:dyDescent="0.25">
      <c r="A86" s="1">
        <v>1489</v>
      </c>
      <c r="B86" s="2" t="s">
        <v>94</v>
      </c>
      <c r="C86" s="3" t="s">
        <v>0</v>
      </c>
      <c r="D86" s="4">
        <v>3162</v>
      </c>
      <c r="E86" s="5">
        <v>3146</v>
      </c>
      <c r="F86" s="6">
        <v>7.86</v>
      </c>
      <c r="G86" s="6">
        <v>8.2100000000000009</v>
      </c>
      <c r="H86" s="7">
        <v>0</v>
      </c>
    </row>
    <row r="87" spans="1:8" ht="25.5" x14ac:dyDescent="0.25">
      <c r="A87" s="1">
        <v>1490</v>
      </c>
      <c r="B87" s="2" t="s">
        <v>95</v>
      </c>
      <c r="C87" s="3">
        <v>65.38</v>
      </c>
      <c r="D87" s="4">
        <v>3163</v>
      </c>
      <c r="E87" s="5">
        <v>3146</v>
      </c>
      <c r="F87" s="6">
        <v>6.39</v>
      </c>
      <c r="G87" s="6">
        <f t="shared" ref="G87:G98" si="1">G71*0.4</f>
        <v>6.6720000000000006</v>
      </c>
      <c r="H87" s="7">
        <v>0</v>
      </c>
    </row>
    <row r="88" spans="1:8" ht="25.5" x14ac:dyDescent="0.25">
      <c r="A88" s="1">
        <v>1491</v>
      </c>
      <c r="B88" s="2" t="s">
        <v>96</v>
      </c>
      <c r="C88" s="3">
        <v>130.76</v>
      </c>
      <c r="D88" s="4">
        <v>3164</v>
      </c>
      <c r="E88" s="5">
        <v>3146</v>
      </c>
      <c r="F88" s="6">
        <v>9.24</v>
      </c>
      <c r="G88" s="6">
        <f t="shared" si="1"/>
        <v>9.652000000000001</v>
      </c>
      <c r="H88" s="7">
        <v>0</v>
      </c>
    </row>
    <row r="89" spans="1:8" ht="25.5" x14ac:dyDescent="0.25">
      <c r="A89" s="1">
        <v>1492</v>
      </c>
      <c r="B89" s="2" t="s">
        <v>97</v>
      </c>
      <c r="C89" s="3">
        <v>261.52</v>
      </c>
      <c r="D89" s="4">
        <v>3165</v>
      </c>
      <c r="E89" s="5">
        <v>3146</v>
      </c>
      <c r="F89" s="6">
        <v>17.05</v>
      </c>
      <c r="G89" s="6">
        <f t="shared" si="1"/>
        <v>17.812000000000001</v>
      </c>
      <c r="H89" s="7">
        <v>0</v>
      </c>
    </row>
    <row r="90" spans="1:8" ht="25.5" x14ac:dyDescent="0.25">
      <c r="A90" s="1">
        <v>1493</v>
      </c>
      <c r="B90" s="2" t="s">
        <v>98</v>
      </c>
      <c r="C90" s="3">
        <v>392.29</v>
      </c>
      <c r="D90" s="4">
        <v>3166</v>
      </c>
      <c r="E90" s="5">
        <v>3146</v>
      </c>
      <c r="F90" s="6">
        <v>26.29</v>
      </c>
      <c r="G90" s="6">
        <f t="shared" si="1"/>
        <v>27.463999999999999</v>
      </c>
      <c r="H90" s="7">
        <v>0</v>
      </c>
    </row>
    <row r="91" spans="1:8" ht="25.5" x14ac:dyDescent="0.25">
      <c r="A91" s="1">
        <v>1494</v>
      </c>
      <c r="B91" s="2" t="s">
        <v>99</v>
      </c>
      <c r="C91" s="3">
        <v>523.04999999999995</v>
      </c>
      <c r="D91" s="4">
        <v>3167</v>
      </c>
      <c r="E91" s="5">
        <v>3146</v>
      </c>
      <c r="F91" s="6">
        <v>41.92</v>
      </c>
      <c r="G91" s="6">
        <f t="shared" si="1"/>
        <v>43.792000000000002</v>
      </c>
      <c r="H91" s="7">
        <v>0</v>
      </c>
    </row>
    <row r="92" spans="1:8" ht="25.5" x14ac:dyDescent="0.25">
      <c r="A92" s="1">
        <v>1495</v>
      </c>
      <c r="B92" s="2" t="s">
        <v>100</v>
      </c>
      <c r="C92" s="3">
        <v>653.79999999999995</v>
      </c>
      <c r="D92" s="4">
        <v>3168</v>
      </c>
      <c r="E92" s="5">
        <v>3146</v>
      </c>
      <c r="F92" s="6">
        <v>47.62</v>
      </c>
      <c r="G92" s="6">
        <f t="shared" si="1"/>
        <v>49.731999999999999</v>
      </c>
      <c r="H92" s="7">
        <v>0</v>
      </c>
    </row>
    <row r="93" spans="1:8" ht="25.5" x14ac:dyDescent="0.25">
      <c r="A93" s="1">
        <v>1496</v>
      </c>
      <c r="B93" s="2" t="s">
        <v>101</v>
      </c>
      <c r="C93" s="3">
        <v>1307.6199999999999</v>
      </c>
      <c r="D93" s="4">
        <v>3169</v>
      </c>
      <c r="E93" s="5">
        <v>3146</v>
      </c>
      <c r="F93" s="6">
        <v>64.67</v>
      </c>
      <c r="G93" s="6">
        <f t="shared" si="1"/>
        <v>67.552000000000007</v>
      </c>
      <c r="H93" s="7">
        <v>0</v>
      </c>
    </row>
    <row r="94" spans="1:8" ht="25.5" x14ac:dyDescent="0.25">
      <c r="A94" s="1">
        <v>1497</v>
      </c>
      <c r="B94" s="2" t="s">
        <v>102</v>
      </c>
      <c r="C94" s="3">
        <v>2615.2399999999998</v>
      </c>
      <c r="D94" s="4">
        <v>3170</v>
      </c>
      <c r="E94" s="5">
        <v>3146</v>
      </c>
      <c r="F94" s="6">
        <v>87.4</v>
      </c>
      <c r="G94" s="6">
        <f t="shared" si="1"/>
        <v>91.308000000000007</v>
      </c>
      <c r="H94" s="7">
        <v>0</v>
      </c>
    </row>
    <row r="95" spans="1:8" ht="25.5" x14ac:dyDescent="0.25">
      <c r="A95" s="1">
        <v>1498</v>
      </c>
      <c r="B95" s="2" t="s">
        <v>103</v>
      </c>
      <c r="C95" s="3">
        <v>6538.1</v>
      </c>
      <c r="D95" s="4">
        <v>3171</v>
      </c>
      <c r="E95" s="5">
        <v>3146</v>
      </c>
      <c r="F95" s="6">
        <v>115.83</v>
      </c>
      <c r="G95" s="6">
        <f t="shared" si="1"/>
        <v>120.99200000000002</v>
      </c>
      <c r="H95" s="7">
        <v>0</v>
      </c>
    </row>
    <row r="96" spans="1:8" ht="25.5" x14ac:dyDescent="0.25">
      <c r="A96" s="1">
        <v>1499</v>
      </c>
      <c r="B96" s="2" t="s">
        <v>104</v>
      </c>
      <c r="C96" s="3">
        <v>13076.18</v>
      </c>
      <c r="D96" s="4">
        <v>3172</v>
      </c>
      <c r="E96" s="5">
        <v>3146</v>
      </c>
      <c r="F96" s="6">
        <v>175.52</v>
      </c>
      <c r="G96" s="6">
        <f t="shared" si="1"/>
        <v>183.34400000000002</v>
      </c>
      <c r="H96" s="7">
        <v>0</v>
      </c>
    </row>
    <row r="97" spans="1:8" ht="25.5" x14ac:dyDescent="0.25">
      <c r="A97" s="1">
        <v>1500</v>
      </c>
      <c r="B97" s="2" t="s">
        <v>105</v>
      </c>
      <c r="C97" s="3">
        <v>26152.37</v>
      </c>
      <c r="D97" s="4">
        <v>3173</v>
      </c>
      <c r="E97" s="5">
        <v>3146</v>
      </c>
      <c r="F97" s="6">
        <v>231.65</v>
      </c>
      <c r="G97" s="6">
        <f t="shared" si="1"/>
        <v>241.98400000000004</v>
      </c>
      <c r="H97" s="7">
        <v>0</v>
      </c>
    </row>
    <row r="98" spans="1:8" ht="25.5" x14ac:dyDescent="0.25">
      <c r="A98" s="1">
        <v>1501</v>
      </c>
      <c r="B98" s="2" t="s">
        <v>106</v>
      </c>
      <c r="C98" s="3">
        <v>26152.37</v>
      </c>
      <c r="D98" s="4">
        <v>3174</v>
      </c>
      <c r="E98" s="5">
        <v>3146</v>
      </c>
      <c r="F98" s="6">
        <v>289.92</v>
      </c>
      <c r="G98" s="6">
        <f t="shared" si="1"/>
        <v>302.84800000000001</v>
      </c>
      <c r="H98" s="7">
        <v>0</v>
      </c>
    </row>
    <row r="99" spans="1:8" ht="25.5" x14ac:dyDescent="0.25">
      <c r="A99" s="1">
        <v>1502</v>
      </c>
      <c r="B99" s="2" t="s">
        <v>107</v>
      </c>
      <c r="C99" s="3" t="s">
        <v>0</v>
      </c>
      <c r="D99" s="4">
        <v>3175</v>
      </c>
      <c r="E99" s="5">
        <v>3146</v>
      </c>
      <c r="F99" s="6">
        <v>55.07</v>
      </c>
      <c r="G99" s="6">
        <v>57.53</v>
      </c>
      <c r="H99" s="7">
        <v>0</v>
      </c>
    </row>
    <row r="100" spans="1:8" ht="25.5" x14ac:dyDescent="0.25">
      <c r="A100" s="1">
        <v>1503</v>
      </c>
      <c r="B100" s="2" t="s">
        <v>108</v>
      </c>
      <c r="C100" s="3" t="s">
        <v>0</v>
      </c>
      <c r="D100" s="4">
        <v>3176</v>
      </c>
      <c r="E100" s="5">
        <v>3146</v>
      </c>
      <c r="F100" s="6">
        <v>3.56</v>
      </c>
      <c r="G100" s="6">
        <v>3.72</v>
      </c>
      <c r="H100" s="7">
        <v>0</v>
      </c>
    </row>
    <row r="101" spans="1:8" ht="25.5" x14ac:dyDescent="0.25">
      <c r="A101" s="1">
        <v>1504</v>
      </c>
      <c r="B101" s="2" t="s">
        <v>109</v>
      </c>
      <c r="C101" s="3" t="s">
        <v>0</v>
      </c>
      <c r="D101" s="4">
        <v>3177</v>
      </c>
      <c r="E101" s="5">
        <v>3146</v>
      </c>
      <c r="F101" s="6">
        <v>10.66</v>
      </c>
      <c r="G101" s="6">
        <v>11.14</v>
      </c>
      <c r="H101" s="7">
        <v>0</v>
      </c>
    </row>
    <row r="102" spans="1:8" ht="25.5" x14ac:dyDescent="0.25">
      <c r="A102" s="1">
        <v>1505</v>
      </c>
      <c r="B102" s="2" t="s">
        <v>110</v>
      </c>
      <c r="C102" s="3" t="s">
        <v>0</v>
      </c>
      <c r="D102" s="4">
        <v>3178</v>
      </c>
      <c r="E102" s="5">
        <v>3146</v>
      </c>
      <c r="F102" s="6">
        <v>0.59</v>
      </c>
      <c r="G102" s="6">
        <v>0.62</v>
      </c>
      <c r="H102" s="7">
        <v>0</v>
      </c>
    </row>
    <row r="103" spans="1:8" ht="25.5" x14ac:dyDescent="0.25">
      <c r="A103" s="1">
        <v>1506</v>
      </c>
      <c r="B103" s="2" t="s">
        <v>111</v>
      </c>
      <c r="C103" s="3" t="s">
        <v>0</v>
      </c>
      <c r="D103" s="4">
        <v>3179</v>
      </c>
      <c r="E103" s="5">
        <v>3146</v>
      </c>
      <c r="F103" s="6">
        <v>3.56</v>
      </c>
      <c r="G103" s="6">
        <v>3.72</v>
      </c>
      <c r="H103" s="7">
        <v>0</v>
      </c>
    </row>
    <row r="104" spans="1:8" ht="25.5" x14ac:dyDescent="0.25">
      <c r="A104" s="1">
        <v>1507</v>
      </c>
      <c r="B104" s="2" t="s">
        <v>112</v>
      </c>
      <c r="C104" s="3" t="s">
        <v>0</v>
      </c>
      <c r="D104" s="4">
        <v>3180</v>
      </c>
      <c r="E104" s="5">
        <v>3146</v>
      </c>
      <c r="F104" s="6">
        <v>71.040000000000006</v>
      </c>
      <c r="G104" s="6">
        <v>74.209999999999994</v>
      </c>
      <c r="H104" s="7">
        <v>0</v>
      </c>
    </row>
    <row r="105" spans="1:8" ht="25.5" x14ac:dyDescent="0.25">
      <c r="A105" s="1">
        <v>1508</v>
      </c>
      <c r="B105" s="2" t="s">
        <v>113</v>
      </c>
      <c r="C105" s="3" t="s">
        <v>0</v>
      </c>
      <c r="D105" s="4">
        <v>3181</v>
      </c>
      <c r="E105" s="8" t="s">
        <v>1</v>
      </c>
      <c r="F105" s="6">
        <v>0</v>
      </c>
      <c r="G105" s="6">
        <v>0</v>
      </c>
      <c r="H105" s="7">
        <v>0</v>
      </c>
    </row>
    <row r="106" spans="1:8" ht="25.5" x14ac:dyDescent="0.25">
      <c r="A106" s="1">
        <v>1509</v>
      </c>
      <c r="B106" s="2" t="s">
        <v>114</v>
      </c>
      <c r="C106" s="3">
        <v>65.38</v>
      </c>
      <c r="D106" s="4">
        <v>3182</v>
      </c>
      <c r="E106" s="5">
        <v>3181</v>
      </c>
      <c r="F106" s="6">
        <v>0</v>
      </c>
      <c r="G106" s="6">
        <v>0</v>
      </c>
      <c r="H106" s="7">
        <v>0</v>
      </c>
    </row>
    <row r="107" spans="1:8" ht="25.5" x14ac:dyDescent="0.25">
      <c r="A107" s="1">
        <v>1510</v>
      </c>
      <c r="B107" s="2" t="s">
        <v>115</v>
      </c>
      <c r="C107" s="3">
        <v>130.76</v>
      </c>
      <c r="D107" s="4">
        <v>3183</v>
      </c>
      <c r="E107" s="5">
        <v>3181</v>
      </c>
      <c r="F107" s="6">
        <v>0</v>
      </c>
      <c r="G107" s="6">
        <v>0</v>
      </c>
      <c r="H107" s="7">
        <v>0</v>
      </c>
    </row>
    <row r="108" spans="1:8" ht="25.5" x14ac:dyDescent="0.25">
      <c r="A108" s="1">
        <v>1511</v>
      </c>
      <c r="B108" s="2" t="s">
        <v>116</v>
      </c>
      <c r="C108" s="3">
        <v>261.52</v>
      </c>
      <c r="D108" s="4">
        <v>3184</v>
      </c>
      <c r="E108" s="5">
        <v>3181</v>
      </c>
      <c r="F108" s="6">
        <v>0</v>
      </c>
      <c r="G108" s="6">
        <v>0</v>
      </c>
      <c r="H108" s="7">
        <v>0</v>
      </c>
    </row>
    <row r="109" spans="1:8" ht="25.5" x14ac:dyDescent="0.25">
      <c r="A109" s="1">
        <v>1512</v>
      </c>
      <c r="B109" s="2" t="s">
        <v>117</v>
      </c>
      <c r="C109" s="3">
        <v>392.29</v>
      </c>
      <c r="D109" s="4">
        <v>3185</v>
      </c>
      <c r="E109" s="5">
        <v>3181</v>
      </c>
      <c r="F109" s="6">
        <v>0</v>
      </c>
      <c r="G109" s="6">
        <v>0</v>
      </c>
      <c r="H109" s="7">
        <v>0</v>
      </c>
    </row>
    <row r="110" spans="1:8" ht="25.5" x14ac:dyDescent="0.25">
      <c r="A110" s="1">
        <v>1513</v>
      </c>
      <c r="B110" s="2" t="s">
        <v>118</v>
      </c>
      <c r="C110" s="3">
        <v>523.04999999999995</v>
      </c>
      <c r="D110" s="4">
        <v>3186</v>
      </c>
      <c r="E110" s="5">
        <v>3181</v>
      </c>
      <c r="F110" s="6">
        <v>0</v>
      </c>
      <c r="G110" s="6">
        <v>0</v>
      </c>
      <c r="H110" s="7">
        <v>0</v>
      </c>
    </row>
    <row r="111" spans="1:8" ht="25.5" x14ac:dyDescent="0.25">
      <c r="A111" s="1">
        <v>1514</v>
      </c>
      <c r="B111" s="2" t="s">
        <v>119</v>
      </c>
      <c r="C111" s="3">
        <v>653.79999999999995</v>
      </c>
      <c r="D111" s="4">
        <v>3187</v>
      </c>
      <c r="E111" s="5">
        <v>3181</v>
      </c>
      <c r="F111" s="6">
        <v>0</v>
      </c>
      <c r="G111" s="6">
        <v>0</v>
      </c>
      <c r="H111" s="7">
        <v>0</v>
      </c>
    </row>
    <row r="112" spans="1:8" ht="25.5" x14ac:dyDescent="0.25">
      <c r="A112" s="1">
        <v>1515</v>
      </c>
      <c r="B112" s="2" t="s">
        <v>120</v>
      </c>
      <c r="C112" s="3">
        <v>1307.6199999999999</v>
      </c>
      <c r="D112" s="4">
        <v>3188</v>
      </c>
      <c r="E112" s="5">
        <v>3181</v>
      </c>
      <c r="F112" s="6">
        <v>0</v>
      </c>
      <c r="G112" s="6">
        <v>0</v>
      </c>
      <c r="H112" s="7">
        <v>0</v>
      </c>
    </row>
    <row r="113" spans="1:8" ht="25.5" x14ac:dyDescent="0.25">
      <c r="A113" s="1">
        <v>1516</v>
      </c>
      <c r="B113" s="2" t="s">
        <v>121</v>
      </c>
      <c r="C113" s="3">
        <v>2615.2399999999998</v>
      </c>
      <c r="D113" s="4">
        <v>3189</v>
      </c>
      <c r="E113" s="5">
        <v>3181</v>
      </c>
      <c r="F113" s="6">
        <v>0</v>
      </c>
      <c r="G113" s="6">
        <v>0</v>
      </c>
      <c r="H113" s="7">
        <v>0</v>
      </c>
    </row>
    <row r="114" spans="1:8" ht="25.5" x14ac:dyDescent="0.25">
      <c r="A114" s="1">
        <v>1517</v>
      </c>
      <c r="B114" s="2" t="s">
        <v>122</v>
      </c>
      <c r="C114" s="3">
        <v>6538.1</v>
      </c>
      <c r="D114" s="4">
        <v>3190</v>
      </c>
      <c r="E114" s="5">
        <v>3181</v>
      </c>
      <c r="F114" s="6">
        <v>0</v>
      </c>
      <c r="G114" s="6">
        <v>0</v>
      </c>
      <c r="H114" s="7">
        <v>0</v>
      </c>
    </row>
    <row r="115" spans="1:8" ht="25.5" x14ac:dyDescent="0.25">
      <c r="A115" s="1">
        <v>1518</v>
      </c>
      <c r="B115" s="2" t="s">
        <v>123</v>
      </c>
      <c r="C115" s="3">
        <v>13076.18</v>
      </c>
      <c r="D115" s="4">
        <v>3191</v>
      </c>
      <c r="E115" s="5">
        <v>3181</v>
      </c>
      <c r="F115" s="6">
        <v>0</v>
      </c>
      <c r="G115" s="6">
        <v>0</v>
      </c>
      <c r="H115" s="7">
        <v>0</v>
      </c>
    </row>
    <row r="116" spans="1:8" ht="25.5" x14ac:dyDescent="0.25">
      <c r="A116" s="1">
        <v>1519</v>
      </c>
      <c r="B116" s="2" t="s">
        <v>124</v>
      </c>
      <c r="C116" s="3">
        <v>26152.37</v>
      </c>
      <c r="D116" s="4">
        <v>3192</v>
      </c>
      <c r="E116" s="5">
        <v>3181</v>
      </c>
      <c r="F116" s="6">
        <v>0</v>
      </c>
      <c r="G116" s="6">
        <v>0</v>
      </c>
      <c r="H116" s="7">
        <v>0</v>
      </c>
    </row>
    <row r="117" spans="1:8" ht="25.5" x14ac:dyDescent="0.25">
      <c r="A117" s="1">
        <v>1520</v>
      </c>
      <c r="B117" s="2" t="s">
        <v>125</v>
      </c>
      <c r="C117" s="3">
        <v>26152.37</v>
      </c>
      <c r="D117" s="4">
        <v>3193</v>
      </c>
      <c r="E117" s="5">
        <v>3181</v>
      </c>
      <c r="F117" s="6">
        <v>0</v>
      </c>
      <c r="G117" s="6">
        <v>0</v>
      </c>
      <c r="H117" s="7">
        <v>0</v>
      </c>
    </row>
    <row r="118" spans="1:8" ht="25.5" x14ac:dyDescent="0.25">
      <c r="A118" s="1">
        <v>1521</v>
      </c>
      <c r="B118" s="2" t="s">
        <v>126</v>
      </c>
      <c r="C118" s="3" t="s">
        <v>0</v>
      </c>
      <c r="D118" s="4">
        <v>3194</v>
      </c>
      <c r="E118" s="5">
        <v>3181</v>
      </c>
      <c r="F118" s="6">
        <v>0</v>
      </c>
      <c r="G118" s="6">
        <v>0</v>
      </c>
      <c r="H118" s="7">
        <v>0</v>
      </c>
    </row>
    <row r="119" spans="1:8" ht="25.5" x14ac:dyDescent="0.25">
      <c r="A119" s="1">
        <v>1522</v>
      </c>
      <c r="B119" s="2" t="s">
        <v>127</v>
      </c>
      <c r="C119" s="3" t="s">
        <v>0</v>
      </c>
      <c r="D119" s="4">
        <v>3195</v>
      </c>
      <c r="E119" s="5">
        <v>3181</v>
      </c>
      <c r="F119" s="6">
        <v>0</v>
      </c>
      <c r="G119" s="6">
        <v>0</v>
      </c>
      <c r="H119" s="7">
        <v>0</v>
      </c>
    </row>
    <row r="120" spans="1:8" ht="25.5" x14ac:dyDescent="0.25">
      <c r="A120" s="15">
        <v>1523</v>
      </c>
      <c r="B120" s="2" t="s">
        <v>128</v>
      </c>
      <c r="C120" s="3" t="s">
        <v>0</v>
      </c>
      <c r="D120" s="4">
        <v>3196</v>
      </c>
      <c r="E120" s="5">
        <v>3181</v>
      </c>
      <c r="F120" s="6">
        <v>0</v>
      </c>
      <c r="G120" s="6">
        <v>0</v>
      </c>
      <c r="H120" s="7">
        <v>0</v>
      </c>
    </row>
    <row r="121" spans="1:8" ht="25.5" x14ac:dyDescent="0.25">
      <c r="A121" s="15">
        <v>1524</v>
      </c>
      <c r="B121" s="2" t="s">
        <v>129</v>
      </c>
      <c r="C121" s="3">
        <v>65.38</v>
      </c>
      <c r="D121" s="4">
        <v>3197</v>
      </c>
      <c r="E121" s="5">
        <v>3181</v>
      </c>
      <c r="F121" s="6">
        <v>23.97</v>
      </c>
      <c r="G121" s="6">
        <f t="shared" ref="G121:G132" si="2">G3*0.5+G3</f>
        <v>25.02</v>
      </c>
      <c r="H121" s="7">
        <v>0</v>
      </c>
    </row>
    <row r="122" spans="1:8" ht="25.5" x14ac:dyDescent="0.25">
      <c r="A122" s="15">
        <v>1525</v>
      </c>
      <c r="B122" s="2" t="s">
        <v>130</v>
      </c>
      <c r="C122" s="3">
        <v>130.76</v>
      </c>
      <c r="D122" s="4">
        <v>3198</v>
      </c>
      <c r="E122" s="5">
        <v>3181</v>
      </c>
      <c r="F122" s="6">
        <v>34.659999999999997</v>
      </c>
      <c r="G122" s="6">
        <f t="shared" si="2"/>
        <v>36.195</v>
      </c>
      <c r="H122" s="7">
        <v>0</v>
      </c>
    </row>
    <row r="123" spans="1:8" ht="25.5" x14ac:dyDescent="0.25">
      <c r="A123" s="15">
        <v>1526</v>
      </c>
      <c r="B123" s="2" t="s">
        <v>131</v>
      </c>
      <c r="C123" s="3">
        <v>261.52</v>
      </c>
      <c r="D123" s="4">
        <v>3199</v>
      </c>
      <c r="E123" s="5">
        <v>3181</v>
      </c>
      <c r="F123" s="6">
        <v>63.95</v>
      </c>
      <c r="G123" s="6">
        <f t="shared" si="2"/>
        <v>66.795000000000002</v>
      </c>
      <c r="H123" s="7">
        <v>0</v>
      </c>
    </row>
    <row r="124" spans="1:8" ht="25.5" x14ac:dyDescent="0.25">
      <c r="A124" s="15">
        <v>1527</v>
      </c>
      <c r="B124" s="2" t="s">
        <v>132</v>
      </c>
      <c r="C124" s="3">
        <v>392.29</v>
      </c>
      <c r="D124" s="4">
        <v>3200</v>
      </c>
      <c r="E124" s="5">
        <v>3181</v>
      </c>
      <c r="F124" s="6">
        <v>98.6</v>
      </c>
      <c r="G124" s="6">
        <f t="shared" si="2"/>
        <v>102.99</v>
      </c>
      <c r="H124" s="7">
        <v>0</v>
      </c>
    </row>
    <row r="125" spans="1:8" ht="25.5" x14ac:dyDescent="0.25">
      <c r="A125" s="15">
        <v>1528</v>
      </c>
      <c r="B125" s="2" t="s">
        <v>133</v>
      </c>
      <c r="C125" s="3">
        <v>523.04999999999995</v>
      </c>
      <c r="D125" s="4">
        <v>3201</v>
      </c>
      <c r="E125" s="5">
        <v>3181</v>
      </c>
      <c r="F125" s="6">
        <v>157.21</v>
      </c>
      <c r="G125" s="6">
        <f t="shared" si="2"/>
        <v>164.22</v>
      </c>
      <c r="H125" s="7">
        <v>0</v>
      </c>
    </row>
    <row r="126" spans="1:8" ht="25.5" x14ac:dyDescent="0.25">
      <c r="A126" s="15">
        <v>1529</v>
      </c>
      <c r="B126" s="2" t="s">
        <v>134</v>
      </c>
      <c r="C126" s="3">
        <v>653.79999999999995</v>
      </c>
      <c r="D126" s="4">
        <v>3202</v>
      </c>
      <c r="E126" s="5">
        <v>3181</v>
      </c>
      <c r="F126" s="6">
        <v>178.54</v>
      </c>
      <c r="G126" s="6">
        <f t="shared" si="2"/>
        <v>186.495</v>
      </c>
      <c r="H126" s="7">
        <v>0</v>
      </c>
    </row>
    <row r="127" spans="1:8" ht="25.5" x14ac:dyDescent="0.25">
      <c r="A127" s="15">
        <v>1530</v>
      </c>
      <c r="B127" s="2" t="s">
        <v>135</v>
      </c>
      <c r="C127" s="3">
        <v>1307.6199999999999</v>
      </c>
      <c r="D127" s="4">
        <v>3203</v>
      </c>
      <c r="E127" s="5">
        <v>3181</v>
      </c>
      <c r="F127" s="6">
        <v>242.5</v>
      </c>
      <c r="G127" s="6">
        <f t="shared" si="2"/>
        <v>253.32</v>
      </c>
      <c r="H127" s="7">
        <v>0</v>
      </c>
    </row>
    <row r="128" spans="1:8" ht="25.5" x14ac:dyDescent="0.25">
      <c r="A128" s="15">
        <v>1531</v>
      </c>
      <c r="B128" s="2" t="s">
        <v>136</v>
      </c>
      <c r="C128" s="3">
        <v>2615.2399999999998</v>
      </c>
      <c r="D128" s="4">
        <v>3204</v>
      </c>
      <c r="E128" s="5">
        <v>3181</v>
      </c>
      <c r="F128" s="6">
        <v>327.78</v>
      </c>
      <c r="G128" s="6">
        <f t="shared" si="2"/>
        <v>342.40500000000003</v>
      </c>
      <c r="H128" s="7">
        <v>0</v>
      </c>
    </row>
    <row r="129" spans="1:8" ht="25.5" x14ac:dyDescent="0.25">
      <c r="A129" s="15">
        <v>1532</v>
      </c>
      <c r="B129" s="2" t="s">
        <v>137</v>
      </c>
      <c r="C129" s="3">
        <v>6538.1</v>
      </c>
      <c r="D129" s="4">
        <v>3205</v>
      </c>
      <c r="E129" s="5">
        <v>3181</v>
      </c>
      <c r="F129" s="6">
        <v>434.36</v>
      </c>
      <c r="G129" s="6">
        <f t="shared" si="2"/>
        <v>453.72</v>
      </c>
      <c r="H129" s="7">
        <v>0</v>
      </c>
    </row>
    <row r="130" spans="1:8" ht="25.5" x14ac:dyDescent="0.25">
      <c r="A130" s="15">
        <v>1533</v>
      </c>
      <c r="B130" s="2" t="s">
        <v>138</v>
      </c>
      <c r="C130" s="3">
        <v>13076.18</v>
      </c>
      <c r="D130" s="4">
        <v>3206</v>
      </c>
      <c r="E130" s="5">
        <v>3181</v>
      </c>
      <c r="F130" s="6">
        <v>658.19</v>
      </c>
      <c r="G130" s="6">
        <f t="shared" si="2"/>
        <v>687.54</v>
      </c>
      <c r="H130" s="7">
        <v>0</v>
      </c>
    </row>
    <row r="131" spans="1:8" ht="25.5" x14ac:dyDescent="0.25">
      <c r="A131" s="15">
        <v>1534</v>
      </c>
      <c r="B131" s="2" t="s">
        <v>139</v>
      </c>
      <c r="C131" s="3">
        <v>26152.37</v>
      </c>
      <c r="D131" s="4">
        <v>3207</v>
      </c>
      <c r="E131" s="5">
        <v>3181</v>
      </c>
      <c r="F131" s="6">
        <v>868.7</v>
      </c>
      <c r="G131" s="6">
        <f t="shared" si="2"/>
        <v>907.44</v>
      </c>
      <c r="H131" s="7">
        <v>0</v>
      </c>
    </row>
    <row r="132" spans="1:8" ht="25.5" x14ac:dyDescent="0.25">
      <c r="A132" s="15">
        <v>1535</v>
      </c>
      <c r="B132" s="2" t="s">
        <v>140</v>
      </c>
      <c r="C132" s="3">
        <v>26152.37</v>
      </c>
      <c r="D132" s="4">
        <v>3208</v>
      </c>
      <c r="E132" s="5">
        <v>3181</v>
      </c>
      <c r="F132" s="6">
        <v>1087.19</v>
      </c>
      <c r="G132" s="6">
        <f t="shared" si="2"/>
        <v>1135.68</v>
      </c>
      <c r="H132" s="7">
        <v>0</v>
      </c>
    </row>
    <row r="133" spans="1:8" ht="25.5" x14ac:dyDescent="0.25">
      <c r="A133" s="15">
        <v>1536</v>
      </c>
      <c r="B133" s="2" t="s">
        <v>141</v>
      </c>
      <c r="C133" s="3" t="s">
        <v>0</v>
      </c>
      <c r="D133" s="4">
        <v>3209</v>
      </c>
      <c r="E133" s="5">
        <v>3181</v>
      </c>
      <c r="F133" s="6">
        <v>10.67</v>
      </c>
      <c r="G133" s="6">
        <f>7.43*0.5+7.43</f>
        <v>11.145</v>
      </c>
      <c r="H133" s="7">
        <v>0</v>
      </c>
    </row>
    <row r="134" spans="1:8" ht="25.5" x14ac:dyDescent="0.25">
      <c r="A134" s="15">
        <v>1537</v>
      </c>
      <c r="B134" s="2" t="s">
        <v>142</v>
      </c>
      <c r="C134" s="3" t="s">
        <v>0</v>
      </c>
      <c r="D134" s="4">
        <v>3210</v>
      </c>
      <c r="E134" s="5">
        <v>3181</v>
      </c>
      <c r="F134" s="6">
        <v>53.3</v>
      </c>
      <c r="G134" s="6">
        <f>37.11*0.5+37.11</f>
        <v>55.664999999999999</v>
      </c>
      <c r="H134" s="7">
        <v>0</v>
      </c>
    </row>
    <row r="135" spans="1:8" x14ac:dyDescent="0.25">
      <c r="A135" s="16"/>
      <c r="B135" s="17"/>
      <c r="C135" s="17"/>
      <c r="D135" s="17"/>
      <c r="E135" s="17"/>
      <c r="F135" s="17"/>
      <c r="G135" s="17"/>
      <c r="H135" s="18"/>
    </row>
  </sheetData>
  <mergeCells count="6">
    <mergeCell ref="A135:H135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Softwiki</dc:creator>
  <cp:lastModifiedBy>Softwiki</cp:lastModifiedBy>
  <dcterms:created xsi:type="dcterms:W3CDTF">2026-01-12T17:55:58Z</dcterms:created>
  <dcterms:modified xsi:type="dcterms:W3CDTF">2026-01-12T18:04:56Z</dcterms:modified>
</cp:coreProperties>
</file>